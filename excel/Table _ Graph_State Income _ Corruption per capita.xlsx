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C:\Users\MSI USER\Desktop\FP1.7_Final Task\=== Refocus Final Project ===\excel\"/>
    </mc:Choice>
  </mc:AlternateContent>
  <bookViews>
    <workbookView xWindow="0" yWindow="0" windowWidth="28800" windowHeight="12300" activeTab="1"/>
  </bookViews>
  <sheets>
    <sheet name="Pivot" sheetId="4" r:id="rId1"/>
    <sheet name="scatter chart" sheetId="3" r:id="rId2"/>
    <sheet name="Set 1_Postgress #1" sheetId="1" r:id="rId3"/>
  </sheets>
  <calcPr calcId="162913"/>
  <pivotCaches>
    <pivotCache cacheId="0" r:id="rId4"/>
  </pivotCaches>
</workbook>
</file>

<file path=xl/calcChain.xml><?xml version="1.0" encoding="utf-8"?>
<calcChain xmlns="http://schemas.openxmlformats.org/spreadsheetml/2006/main">
  <c r="G22" i="3" l="1"/>
</calcChain>
</file>

<file path=xl/sharedStrings.xml><?xml version="1.0" encoding="utf-8"?>
<sst xmlns="http://schemas.openxmlformats.org/spreadsheetml/2006/main" count="167" uniqueCount="65">
  <si>
    <t>state_usa</t>
  </si>
  <si>
    <t>average_income</t>
  </si>
  <si>
    <t>minimum_income</t>
  </si>
  <si>
    <t>maximum_income</t>
  </si>
  <si>
    <t>conviction_per_capita</t>
  </si>
  <si>
    <t>total_income_state</t>
  </si>
  <si>
    <t>percentage_income_state</t>
  </si>
  <si>
    <t>percentage_convictions_state</t>
  </si>
  <si>
    <t>Alabama</t>
  </si>
  <si>
    <t>Alaska</t>
  </si>
  <si>
    <t>Arizona</t>
  </si>
  <si>
    <t>Arkansas</t>
  </si>
  <si>
    <t>California</t>
  </si>
  <si>
    <t>Colorado</t>
  </si>
  <si>
    <t>Connecticut</t>
  </si>
  <si>
    <t>Delaware</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</si>
  <si>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</si>
  <si>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</si>
  <si>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</si>
  <si>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</si>
  <si>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</si>
  <si>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</si>
  <si>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</si>
  <si>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</si>
  <si>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</si>
  <si>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</si>
  <si>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</si>
  <si>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</si>
  <si>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</si>
  <si>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</si>
  <si>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</si>
  <si>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</si>
  <si>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</si>
  <si>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</si>
  <si>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</si>
  <si>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</si>
  <si>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</si>
  <si>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</si>
  <si>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</si>
  <si>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</si>
  <si>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</si>
  <si>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</si>
  <si>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</si>
  <si>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</si>
  <si>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</si>
  <si>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</si>
  <si>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</si>
  <si>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</si>
  <si>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</si>
  <si>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</si>
  <si>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</si>
  <si>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</si>
  <si>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</si>
  <si>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</si>
  <si>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</si>
  <si>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</si>
  <si>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</si>
  <si>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</si>
  <si>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Grand Total</t>
  </si>
  <si>
    <t>Total income state</t>
  </si>
  <si>
    <t>Correlation:</t>
  </si>
  <si>
    <t>Row Labels</t>
  </si>
  <si>
    <t>Avg. Income</t>
  </si>
  <si>
    <t>Correlation coefficient between state income and corruption convictions per capita.</t>
  </si>
  <si>
    <r>
      <t xml:space="preserve">The correlation between the total state income and corruption convictions per capita is approximately </t>
    </r>
    <r>
      <rPr>
        <sz val="11"/>
        <color rgb="FFFF0000"/>
        <rFont val="Gadugi"/>
        <family val="2"/>
      </rPr>
      <t>-0.14</t>
    </r>
    <r>
      <rPr>
        <sz val="11"/>
        <color theme="1"/>
        <rFont val="Gadugi"/>
        <family val="2"/>
      </rPr>
      <t>. This suggests a weak negative relationship between the two variables. In other words, as the total state income increases, the number of corruption convictions per capita tends to decrease slightly, but the relationship is weak.</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</si>
</sst>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43" formatCode="_(* #,##0.00_);_(* \(#,##0.00\);_(* &quot;-&quot;??_);_(@_)"/>
    <numFmt numFmtId="164" formatCode="_(* #,##0_);_(* \(#,##0\);_(* &quot;-&quot;??_);_(@_)"/>
  </numFmts>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theme="1"/>
      <name val="Gadugi"/>
      <family val="2"/>
    </font>
    <font>
      <b/>
      <sz val="11"/>
      <color theme="0"/>
      <name val="Gadugi"/>
      <family val="2"/>
    </font>
    <font>
      <b/>
      <sz val="11"/>
      <color theme="1"/>
      <name val="Gadugi"/>
      <family val="2"/>
    </font>
    <font>
      <sz val="11"/>
      <color rgb="FFFF0000"/>
      <name val="Gadugi"/>
      <family val="2"/>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2060"/>
        <bgColor indexed="64"/>
      </patternFill>
    </fill>
    <fill>
      <patternFill patternType="solid">
        <fgColor theme="7"/>
        <bgColor indexed="64"/>
      </patternFill>
    </fill>
  </fills>
  <borders count="1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43" fontId="1" fillId="0" borderId="0" applyFont="0" applyFill="0" applyBorder="0" applyAlignment="0" applyProtection="0"/>
  </cellStyleXfs>
  <cellXfs count="20">
    <xf numFmtId="0" fontId="0" fillId="0" borderId="0" xfId="0"/>
    <xf numFmtId="0" fontId="0" fillId="0" borderId="0" xfId="0" pivotButton="1"/>
    <xf numFmtId="0" fontId="0" fillId="0" borderId="0" xfId="0" applyAlignment="1">
      <alignment horizontal="left"/>
    </xf>
    <xf numFmtId="0" fontId="16" fillId="0" borderId="0" xfId="0" applyFont="1"/>
    <xf numFmtId="0" fontId="0" fillId="0" borderId="0" xfId="0" applyAlignment="1">
      <alignment vertical="top"/>
    </xf>
    <xf numFmtId="164" fontId="0" fillId="0" borderId="0" xfId="42" applyNumberFormat="1" applyFont="1"/>
    <xf numFmtId="0" fontId="18" fillId="0" borderId="0" xfId="0" applyFont="1"/>
    <xf numFmtId="0" fontId="18" fillId="0" borderId="0" xfId="0" applyFont="1" applyAlignment="1">
      <alignment vertical="top"/>
    </xf>
    <xf numFmtId="0" fontId="19" fillId="33" borderId="0" xfId="0" applyFont="1" applyFill="1" applyAlignment="1">
      <alignment horizontal="center" vertical="center"/>
    </xf>
    <xf numFmtId="0" fontId="20" fillId="34" borderId="0" xfId="0" applyFont="1" applyFill="1" applyAlignment="1">
      <alignment horizontal="center" vertical="center"/>
    </xf>
    <xf numFmtId="0" fontId="18" fillId="0" borderId="10" xfId="0" applyFont="1" applyBorder="1" applyAlignment="1">
      <alignment horizontal="left" vertical="top" wrapText="1"/>
    </xf>
    <xf numFmtId="0" fontId="18" fillId="0" borderId="11" xfId="0" applyFont="1" applyBorder="1" applyAlignment="1">
      <alignment horizontal="left" vertical="top" wrapText="1"/>
    </xf>
    <xf numFmtId="0" fontId="18" fillId="0" borderId="12" xfId="0" applyFont="1" applyBorder="1" applyAlignment="1">
      <alignment horizontal="left" vertical="top" wrapText="1"/>
    </xf>
    <xf numFmtId="0" fontId="18" fillId="0" borderId="13" xfId="0" applyFont="1" applyBorder="1" applyAlignment="1">
      <alignment horizontal="left" vertical="top" wrapText="1"/>
    </xf>
    <xf numFmtId="0" fontId="18" fillId="0" borderId="0" xfId="0" applyFont="1" applyBorder="1" applyAlignment="1">
      <alignment horizontal="left" vertical="top" wrapText="1"/>
    </xf>
    <xf numFmtId="0" fontId="18" fillId="0" borderId="14" xfId="0" applyFont="1" applyBorder="1" applyAlignment="1">
      <alignment horizontal="left" vertical="top" wrapText="1"/>
    </xf>
    <xf numFmtId="0" fontId="18" fillId="0" borderId="15" xfId="0" applyFont="1" applyBorder="1" applyAlignment="1">
      <alignment horizontal="left" vertical="top" wrapText="1"/>
    </xf>
    <xf numFmtId="0" fontId="18" fillId="0" borderId="16" xfId="0" applyFont="1" applyBorder="1" applyAlignment="1">
      <alignment horizontal="left" vertical="top" wrapText="1"/>
    </xf>
    <xf numFmtId="0" fontId="18" fillId="0" borderId="17" xfId="0" applyFont="1" applyBorder="1" applyAlignment="1">
      <alignment horizontal="left" vertical="top" wrapText="1"/>
    </xf>
    <xf numFmtId="0" fontId="18" fillId="0" borderId="0" xfId="0" applyFont="1" applyAlignment="1">
      <alignment horizontal="left" wrapTex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8">
    <dxf>
      <font>
        <b/>
        <i val="0"/>
        <strike val="0"/>
        <condense val="0"/>
        <extend val="0"/>
        <outline val="0"/>
        <shadow val="0"/>
        <u val="none"/>
        <vertAlign val="baseline"/>
        <sz val="11"/>
        <color theme="1"/>
        <name val="Calibri"/>
        <scheme val="minor"/>
      </font>
    </dxf>
    <dxf>
      <font>
        <b/>
      </font>
    </dxf>
    <dxf>
      <numFmt numFmtId="164" formatCode="_(* #,##0_);_(* \(#,##0\);_(* &quot;-&quot;??_);_(@_)"/>
    </dxf>
    <dxf>
      <numFmt numFmtId="164" formatCode="_(* #,##0_);_(* \(#,##0\);_(* &quot;-&quot;??_);_(@_)"/>
    </dxf>
    <dxf>
      <numFmt numFmtId="164" formatCode="_(* #,##0_);_(* \(#,##0\);_(* &quot;-&quot;??_);_(@_)"/>
    </dxf>
    <dxf>
      <numFmt numFmtId="165" formatCode="_(* #,##0.0_);_(* \(#,##0.0\);_(* &quot;-&quot;??_);_(@_)"/>
    </dxf>
    <dxf>
      <numFmt numFmtId="165" formatCode="_(* #,##0.0_);_(* \(#,##0.0\);_(* &quot;-&quot;??_);_(@_)"/>
    </dxf>
    <dxf>
      <numFmt numFmtId="165" formatCode="_(* #,##0.0_);_(* \(#,##0.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[State Incomve &amp; Corruption per capita.xlsx]Pivot!PivotTable1</c:name>
    <c:fmtId val="2"/>
  </c:pivotSource>
  <c:chart>
    <c:title>
      <c:tx>
        <c:rich>
          <a:bodyPr rot="0" spcFirstLastPara="1" vertOverflow="ellipsis" vert="horz" wrap="square" anchor="ctr" anchorCtr="1"/>
          <a:lstStyle/>
          <a:p>
            <a:pPr>
              <a:defRPr sz="1800" b="0" i="0" u="none" strike="noStrike" kern="1200" spc="0" baseline="0">
                <a:solidFill>
                  <a:sysClr val="windowText" lastClr="000000"/>
                </a:solidFill>
                <a:latin typeface="Gadugi" panose="020B0502040204020203" pitchFamily="34" charset="0"/>
                <a:ea typeface="Gadugi" panose="020B0502040204020203" pitchFamily="34" charset="0"/>
                <a:cs typeface="+mn-cs"/>
              </a:defRPr>
            </a:pPr>
            <a:r>
              <a:rPr lang="en-US" sz="1800">
                <a:solidFill>
                  <a:sysClr val="windowText" lastClr="000000"/>
                </a:solidFill>
                <a:latin typeface="Gadugi" panose="020B0502040204020203" pitchFamily="34" charset="0"/>
                <a:ea typeface="Gadugi" panose="020B0502040204020203" pitchFamily="34" charset="0"/>
              </a:rPr>
              <a:t>AVG. Income Per State</a:t>
            </a:r>
          </a:p>
        </c:rich>
      </c:tx>
      <c:layout>
        <c:manualLayout>
          <c:xMode val="edge"/>
          <c:yMode val="edge"/>
          <c:x val="0.74611957880373214"/>
          <c:y val="7.2117390895539257E-2"/>
        </c:manualLayout>
      </c:layout>
      <c:overlay val="0"/>
      <c:spPr>
        <a:noFill/>
        <a:ln>
          <a:noFill/>
        </a:ln>
        <a:effectLst/>
      </c:spPr>
      <c:txPr>
        <a:bodyPr rot="0" spcFirstLastPara="1" vertOverflow="ellipsis" vert="horz" wrap="square" anchor="ctr" anchorCtr="1"/>
        <a:lstStyle/>
        <a:p>
          <a:pPr>
            <a:defRPr sz="1800" b="0" i="0" u="none" strike="noStrike" kern="1200" spc="0" baseline="0">
              <a:solidFill>
                <a:sysClr val="windowText" lastClr="000000"/>
              </a:solidFill>
              <a:latin typeface="Gadugi" panose="020B0502040204020203" pitchFamily="34" charset="0"/>
              <a:ea typeface="Gadugi" panose="020B0502040204020203" pitchFamily="34" charset="0"/>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bg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spPr>
          <a:solidFill>
            <a:schemeClr val="accent2">
              <a:lumMod val="40000"/>
              <a:lumOff val="60000"/>
            </a:schemeClr>
          </a:solidFill>
          <a:ln>
            <a:noFill/>
          </a:ln>
          <a:effectLst/>
        </c:spPr>
      </c:pivotFmt>
      <c:pivotFmt>
        <c:idx val="10"/>
        <c:spPr>
          <a:solidFill>
            <a:schemeClr val="accent2">
              <a:lumMod val="40000"/>
              <a:lumOff val="60000"/>
            </a:schemeClr>
          </a:solidFill>
          <a:ln>
            <a:noFill/>
          </a:ln>
          <a:effectLst/>
        </c:spPr>
      </c:pivotFmt>
      <c:pivotFmt>
        <c:idx val="11"/>
        <c:spPr>
          <a:solidFill>
            <a:schemeClr val="accent2">
              <a:lumMod val="40000"/>
              <a:lumOff val="60000"/>
            </a:schemeClr>
          </a:solidFill>
          <a:ln>
            <a:noFill/>
          </a:ln>
          <a:effectLst/>
        </c:spPr>
      </c:pivotFmt>
      <c:pivotFmt>
        <c:idx val="12"/>
        <c:spPr>
          <a:solidFill>
            <a:schemeClr val="bg2">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bg2">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bg2">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bg2">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bg2">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bg2">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bg2">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bg2">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bg2">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bg2">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bg2">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bg2">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bg2">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bg2">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bg2">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bg2">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bg2">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bg2">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bg2">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bg2">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bg2">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bg2">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bg2">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bg2">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bg2">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bg2">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bg2">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bg2">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bg2">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bg2">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bg2">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bg2">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bg2">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bg2">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bg2">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bg2">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bg2">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bg2">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bg2">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bg2">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bg2">
              <a:lumMod val="7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53"/>
        <c:spPr>
          <a:solidFill>
            <a:schemeClr val="accent6">
              <a:lumMod val="40000"/>
              <a:lumOff val="60000"/>
            </a:schemeClr>
          </a:solidFill>
          <a:ln>
            <a:noFill/>
          </a:ln>
          <a:effectLst/>
        </c:spPr>
      </c:pivotFmt>
      <c:pivotFmt>
        <c:idx val="54"/>
        <c:spPr>
          <a:solidFill>
            <a:schemeClr val="accent6">
              <a:lumMod val="40000"/>
              <a:lumOff val="60000"/>
            </a:schemeClr>
          </a:solidFill>
          <a:ln>
            <a:noFill/>
          </a:ln>
          <a:effectLst/>
        </c:spPr>
      </c:pivotFmt>
      <c:pivotFmt>
        <c:idx val="55"/>
        <c:spPr>
          <a:solidFill>
            <a:schemeClr val="accent6">
              <a:lumMod val="40000"/>
              <a:lumOff val="60000"/>
            </a:schemeClr>
          </a:solidFill>
          <a:ln>
            <a:noFill/>
          </a:ln>
          <a:effectLst/>
        </c:spPr>
      </c:pivotFmt>
      <c:pivotFmt>
        <c:idx val="56"/>
        <c:spPr>
          <a:solidFill>
            <a:schemeClr val="accent6">
              <a:lumMod val="40000"/>
              <a:lumOff val="60000"/>
            </a:schemeClr>
          </a:solidFill>
          <a:ln>
            <a:noFill/>
          </a:ln>
          <a:effectLst/>
        </c:spPr>
      </c:pivotFmt>
      <c:pivotFmt>
        <c:idx val="57"/>
        <c:spPr>
          <a:solidFill>
            <a:schemeClr val="accent6">
              <a:lumMod val="40000"/>
              <a:lumOff val="60000"/>
            </a:schemeClr>
          </a:solidFill>
          <a:ln>
            <a:noFill/>
          </a:ln>
          <a:effectLst/>
        </c:spPr>
      </c:pivotFmt>
      <c:pivotFmt>
        <c:idx val="58"/>
        <c:spPr>
          <a:solidFill>
            <a:schemeClr val="accent2">
              <a:lumMod val="40000"/>
              <a:lumOff val="60000"/>
            </a:schemeClr>
          </a:solidFill>
          <a:ln>
            <a:noFill/>
          </a:ln>
          <a:effectLst/>
        </c:spPr>
      </c:pivotFmt>
      <c:pivotFmt>
        <c:idx val="59"/>
        <c:spPr>
          <a:solidFill>
            <a:schemeClr val="accent2">
              <a:lumMod val="40000"/>
              <a:lumOff val="60000"/>
            </a:schemeClr>
          </a:solidFill>
          <a:ln>
            <a:noFill/>
          </a:ln>
          <a:effectLst/>
        </c:spPr>
      </c:pivotFmt>
    </c:pivotFmts>
    <c:plotArea>
      <c:layout>
        <c:manualLayout>
          <c:layoutTarget val="inner"/>
          <c:xMode val="edge"/>
          <c:yMode val="edge"/>
          <c:x val="8.4317684357128206E-2"/>
          <c:y val="1.6134169777095055E-2"/>
          <c:w val="0.90238524830774114"/>
          <c:h val="0.96541719534265069"/>
        </c:manualLayout>
      </c:layout>
      <c:barChart>
        <c:barDir val="bar"/>
        <c:grouping val="clustered"/>
        <c:varyColors val="0"/>
        <c:ser>
          <c:idx val="0"/>
          <c:order val="0"/>
          <c:tx>
            <c:strRef>
              <c:f>Pivot!$B$1</c:f>
              <c:strCache>
                <c:ptCount val="1"/>
                <c:pt idx="0">
                  <c:v>Total</c:v>
                </c:pt>
              </c:strCache>
            </c:strRef>
          </c:tx>
          <c:spPr>
            <a:solidFill>
              <a:schemeClr val="bg2">
                <a:lumMod val="75000"/>
              </a:schemeClr>
            </a:solidFill>
            <a:ln>
              <a:noFill/>
            </a:ln>
            <a:effectLst/>
          </c:spPr>
          <c:invertIfNegative val="0"/>
          <c:dPt>
            <c:idx val="0"/>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1-CDA2-48FF-8D70-6417523E98B9}"/>
              </c:ext>
            </c:extLst>
          </c:dPt>
          <c:dPt>
            <c:idx val="1"/>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2-CDA2-48FF-8D70-6417523E98B9}"/>
              </c:ext>
            </c:extLst>
          </c:dPt>
          <c:dPt>
            <c:idx val="2"/>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3-CDA2-48FF-8D70-6417523E98B9}"/>
              </c:ext>
            </c:extLst>
          </c:dPt>
          <c:dPt>
            <c:idx val="3"/>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4-CDA2-48FF-8D70-6417523E98B9}"/>
              </c:ext>
            </c:extLst>
          </c:dPt>
          <c:dPt>
            <c:idx val="4"/>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5-CDA2-48FF-8D70-6417523E98B9}"/>
              </c:ext>
            </c:extLst>
          </c:dPt>
          <c:dPt>
            <c:idx val="5"/>
            <c:invertIfNegative val="0"/>
            <c:bubble3D val="0"/>
            <c:spPr>
              <a:solidFill>
                <a:schemeClr val="bg2">
                  <a:lumMod val="75000"/>
                </a:schemeClr>
              </a:solidFill>
              <a:ln>
                <a:noFill/>
              </a:ln>
              <a:effectLst/>
            </c:spPr>
            <c:extLst>
              <c:ext xmlns:c16="http://schemas.microsoft.com/office/drawing/2014/chart" uri="{C3380CC4-5D6E-409C-BE32-E72D297353CC}">
                <c16:uniqueId val="{0000000B-CDA2-48FF-8D70-6417523E98B9}"/>
              </c:ext>
            </c:extLst>
          </c:dPt>
          <c:dPt>
            <c:idx val="6"/>
            <c:invertIfNegative val="0"/>
            <c:bubble3D val="0"/>
            <c:spPr>
              <a:solidFill>
                <a:schemeClr val="bg2">
                  <a:lumMod val="75000"/>
                </a:schemeClr>
              </a:solidFill>
              <a:ln>
                <a:noFill/>
              </a:ln>
              <a:effectLst/>
            </c:spPr>
            <c:extLst>
              <c:ext xmlns:c16="http://schemas.microsoft.com/office/drawing/2014/chart" uri="{C3380CC4-5D6E-409C-BE32-E72D297353CC}">
                <c16:uniqueId val="{0000000C-CDA2-48FF-8D70-6417523E98B9}"/>
              </c:ext>
            </c:extLst>
          </c:dPt>
          <c:dPt>
            <c:idx val="7"/>
            <c:invertIfNegative val="0"/>
            <c:bubble3D val="0"/>
            <c:spPr>
              <a:solidFill>
                <a:schemeClr val="bg2">
                  <a:lumMod val="75000"/>
                </a:schemeClr>
              </a:solidFill>
              <a:ln>
                <a:noFill/>
              </a:ln>
              <a:effectLst/>
            </c:spPr>
            <c:extLst>
              <c:ext xmlns:c16="http://schemas.microsoft.com/office/drawing/2014/chart" uri="{C3380CC4-5D6E-409C-BE32-E72D297353CC}">
                <c16:uniqueId val="{0000000D-CDA2-48FF-8D70-6417523E98B9}"/>
              </c:ext>
            </c:extLst>
          </c:dPt>
          <c:dPt>
            <c:idx val="8"/>
            <c:invertIfNegative val="0"/>
            <c:bubble3D val="0"/>
            <c:spPr>
              <a:solidFill>
                <a:schemeClr val="bg2">
                  <a:lumMod val="75000"/>
                </a:schemeClr>
              </a:solidFill>
              <a:ln>
                <a:noFill/>
              </a:ln>
              <a:effectLst/>
            </c:spPr>
            <c:extLst>
              <c:ext xmlns:c16="http://schemas.microsoft.com/office/drawing/2014/chart" uri="{C3380CC4-5D6E-409C-BE32-E72D297353CC}">
                <c16:uniqueId val="{0000000E-CDA2-48FF-8D70-6417523E98B9}"/>
              </c:ext>
            </c:extLst>
          </c:dPt>
          <c:dPt>
            <c:idx val="9"/>
            <c:invertIfNegative val="0"/>
            <c:bubble3D val="0"/>
            <c:spPr>
              <a:solidFill>
                <a:schemeClr val="bg2">
                  <a:lumMod val="75000"/>
                </a:schemeClr>
              </a:solidFill>
              <a:ln>
                <a:noFill/>
              </a:ln>
              <a:effectLst/>
            </c:spPr>
            <c:extLst>
              <c:ext xmlns:c16="http://schemas.microsoft.com/office/drawing/2014/chart" uri="{C3380CC4-5D6E-409C-BE32-E72D297353CC}">
                <c16:uniqueId val="{0000000F-CDA2-48FF-8D70-6417523E98B9}"/>
              </c:ext>
            </c:extLst>
          </c:dPt>
          <c:dPt>
            <c:idx val="10"/>
            <c:invertIfNegative val="0"/>
            <c:bubble3D val="0"/>
            <c:spPr>
              <a:solidFill>
                <a:schemeClr val="bg2">
                  <a:lumMod val="75000"/>
                </a:schemeClr>
              </a:solidFill>
              <a:ln>
                <a:noFill/>
              </a:ln>
              <a:effectLst/>
            </c:spPr>
            <c:extLst>
              <c:ext xmlns:c16="http://schemas.microsoft.com/office/drawing/2014/chart" uri="{C3380CC4-5D6E-409C-BE32-E72D297353CC}">
                <c16:uniqueId val="{00000010-CDA2-48FF-8D70-6417523E98B9}"/>
              </c:ext>
            </c:extLst>
          </c:dPt>
          <c:dPt>
            <c:idx val="11"/>
            <c:invertIfNegative val="0"/>
            <c:bubble3D val="0"/>
            <c:spPr>
              <a:solidFill>
                <a:schemeClr val="bg2">
                  <a:lumMod val="75000"/>
                </a:schemeClr>
              </a:solidFill>
              <a:ln>
                <a:noFill/>
              </a:ln>
              <a:effectLst/>
            </c:spPr>
            <c:extLst>
              <c:ext xmlns:c16="http://schemas.microsoft.com/office/drawing/2014/chart" uri="{C3380CC4-5D6E-409C-BE32-E72D297353CC}">
                <c16:uniqueId val="{00000011-CDA2-48FF-8D70-6417523E98B9}"/>
              </c:ext>
            </c:extLst>
          </c:dPt>
          <c:dPt>
            <c:idx val="12"/>
            <c:invertIfNegative val="0"/>
            <c:bubble3D val="0"/>
            <c:spPr>
              <a:solidFill>
                <a:schemeClr val="bg2">
                  <a:lumMod val="75000"/>
                </a:schemeClr>
              </a:solidFill>
              <a:ln>
                <a:noFill/>
              </a:ln>
              <a:effectLst/>
            </c:spPr>
            <c:extLst>
              <c:ext xmlns:c16="http://schemas.microsoft.com/office/drawing/2014/chart" uri="{C3380CC4-5D6E-409C-BE32-E72D297353CC}">
                <c16:uniqueId val="{00000012-CDA2-48FF-8D70-6417523E98B9}"/>
              </c:ext>
            </c:extLst>
          </c:dPt>
          <c:dPt>
            <c:idx val="13"/>
            <c:invertIfNegative val="0"/>
            <c:bubble3D val="0"/>
            <c:spPr>
              <a:solidFill>
                <a:schemeClr val="bg2">
                  <a:lumMod val="75000"/>
                </a:schemeClr>
              </a:solidFill>
              <a:ln>
                <a:noFill/>
              </a:ln>
              <a:effectLst/>
            </c:spPr>
            <c:extLst>
              <c:ext xmlns:c16="http://schemas.microsoft.com/office/drawing/2014/chart" uri="{C3380CC4-5D6E-409C-BE32-E72D297353CC}">
                <c16:uniqueId val="{00000014-CDA2-48FF-8D70-6417523E98B9}"/>
              </c:ext>
            </c:extLst>
          </c:dPt>
          <c:dPt>
            <c:idx val="14"/>
            <c:invertIfNegative val="0"/>
            <c:bubble3D val="0"/>
            <c:spPr>
              <a:solidFill>
                <a:schemeClr val="bg2">
                  <a:lumMod val="75000"/>
                </a:schemeClr>
              </a:solidFill>
              <a:ln>
                <a:noFill/>
              </a:ln>
              <a:effectLst/>
            </c:spPr>
            <c:extLst>
              <c:ext xmlns:c16="http://schemas.microsoft.com/office/drawing/2014/chart" uri="{C3380CC4-5D6E-409C-BE32-E72D297353CC}">
                <c16:uniqueId val="{00000013-CDA2-48FF-8D70-6417523E98B9}"/>
              </c:ext>
            </c:extLst>
          </c:dPt>
          <c:dPt>
            <c:idx val="15"/>
            <c:invertIfNegative val="0"/>
            <c:bubble3D val="0"/>
            <c:spPr>
              <a:solidFill>
                <a:schemeClr val="bg2">
                  <a:lumMod val="75000"/>
                </a:schemeClr>
              </a:solidFill>
              <a:ln>
                <a:noFill/>
              </a:ln>
              <a:effectLst/>
            </c:spPr>
            <c:extLst>
              <c:ext xmlns:c16="http://schemas.microsoft.com/office/drawing/2014/chart" uri="{C3380CC4-5D6E-409C-BE32-E72D297353CC}">
                <c16:uniqueId val="{00000015-CDA2-48FF-8D70-6417523E98B9}"/>
              </c:ext>
            </c:extLst>
          </c:dPt>
          <c:dPt>
            <c:idx val="16"/>
            <c:invertIfNegative val="0"/>
            <c:bubble3D val="0"/>
            <c:spPr>
              <a:solidFill>
                <a:schemeClr val="bg2">
                  <a:lumMod val="75000"/>
                </a:schemeClr>
              </a:solidFill>
              <a:ln>
                <a:noFill/>
              </a:ln>
              <a:effectLst/>
            </c:spPr>
            <c:extLst>
              <c:ext xmlns:c16="http://schemas.microsoft.com/office/drawing/2014/chart" uri="{C3380CC4-5D6E-409C-BE32-E72D297353CC}">
                <c16:uniqueId val="{00000016-CDA2-48FF-8D70-6417523E98B9}"/>
              </c:ext>
            </c:extLst>
          </c:dPt>
          <c:dPt>
            <c:idx val="17"/>
            <c:invertIfNegative val="0"/>
            <c:bubble3D val="0"/>
            <c:spPr>
              <a:solidFill>
                <a:schemeClr val="bg2">
                  <a:lumMod val="75000"/>
                </a:schemeClr>
              </a:solidFill>
              <a:ln>
                <a:noFill/>
              </a:ln>
              <a:effectLst/>
            </c:spPr>
            <c:extLst>
              <c:ext xmlns:c16="http://schemas.microsoft.com/office/drawing/2014/chart" uri="{C3380CC4-5D6E-409C-BE32-E72D297353CC}">
                <c16:uniqueId val="{00000017-CDA2-48FF-8D70-6417523E98B9}"/>
              </c:ext>
            </c:extLst>
          </c:dPt>
          <c:dPt>
            <c:idx val="18"/>
            <c:invertIfNegative val="0"/>
            <c:bubble3D val="0"/>
            <c:spPr>
              <a:solidFill>
                <a:schemeClr val="bg2">
                  <a:lumMod val="75000"/>
                </a:schemeClr>
              </a:solidFill>
              <a:ln>
                <a:noFill/>
              </a:ln>
              <a:effectLst/>
            </c:spPr>
            <c:extLst>
              <c:ext xmlns:c16="http://schemas.microsoft.com/office/drawing/2014/chart" uri="{C3380CC4-5D6E-409C-BE32-E72D297353CC}">
                <c16:uniqueId val="{00000018-CDA2-48FF-8D70-6417523E98B9}"/>
              </c:ext>
            </c:extLst>
          </c:dPt>
          <c:dPt>
            <c:idx val="19"/>
            <c:invertIfNegative val="0"/>
            <c:bubble3D val="0"/>
            <c:spPr>
              <a:solidFill>
                <a:schemeClr val="bg2">
                  <a:lumMod val="75000"/>
                </a:schemeClr>
              </a:solidFill>
              <a:ln>
                <a:noFill/>
              </a:ln>
              <a:effectLst/>
            </c:spPr>
            <c:extLst>
              <c:ext xmlns:c16="http://schemas.microsoft.com/office/drawing/2014/chart" uri="{C3380CC4-5D6E-409C-BE32-E72D297353CC}">
                <c16:uniqueId val="{00000019-CDA2-48FF-8D70-6417523E98B9}"/>
              </c:ext>
            </c:extLst>
          </c:dPt>
          <c:dPt>
            <c:idx val="20"/>
            <c:invertIfNegative val="0"/>
            <c:bubble3D val="0"/>
            <c:spPr>
              <a:solidFill>
                <a:schemeClr val="bg2">
                  <a:lumMod val="75000"/>
                </a:schemeClr>
              </a:solidFill>
              <a:ln>
                <a:noFill/>
              </a:ln>
              <a:effectLst/>
            </c:spPr>
            <c:extLst>
              <c:ext xmlns:c16="http://schemas.microsoft.com/office/drawing/2014/chart" uri="{C3380CC4-5D6E-409C-BE32-E72D297353CC}">
                <c16:uniqueId val="{0000001A-CDA2-48FF-8D70-6417523E98B9}"/>
              </c:ext>
            </c:extLst>
          </c:dPt>
          <c:dPt>
            <c:idx val="21"/>
            <c:invertIfNegative val="0"/>
            <c:bubble3D val="0"/>
            <c:spPr>
              <a:solidFill>
                <a:schemeClr val="bg2">
                  <a:lumMod val="75000"/>
                </a:schemeClr>
              </a:solidFill>
              <a:ln>
                <a:noFill/>
              </a:ln>
              <a:effectLst/>
            </c:spPr>
            <c:extLst>
              <c:ext xmlns:c16="http://schemas.microsoft.com/office/drawing/2014/chart" uri="{C3380CC4-5D6E-409C-BE32-E72D297353CC}">
                <c16:uniqueId val="{0000001B-CDA2-48FF-8D70-6417523E98B9}"/>
              </c:ext>
            </c:extLst>
          </c:dPt>
          <c:dPt>
            <c:idx val="22"/>
            <c:invertIfNegative val="0"/>
            <c:bubble3D val="0"/>
            <c:spPr>
              <a:solidFill>
                <a:schemeClr val="bg2">
                  <a:lumMod val="75000"/>
                </a:schemeClr>
              </a:solidFill>
              <a:ln>
                <a:noFill/>
              </a:ln>
              <a:effectLst/>
            </c:spPr>
            <c:extLst>
              <c:ext xmlns:c16="http://schemas.microsoft.com/office/drawing/2014/chart" uri="{C3380CC4-5D6E-409C-BE32-E72D297353CC}">
                <c16:uniqueId val="{0000001C-CDA2-48FF-8D70-6417523E98B9}"/>
              </c:ext>
            </c:extLst>
          </c:dPt>
          <c:dPt>
            <c:idx val="23"/>
            <c:invertIfNegative val="0"/>
            <c:bubble3D val="0"/>
            <c:spPr>
              <a:solidFill>
                <a:schemeClr val="bg2">
                  <a:lumMod val="75000"/>
                </a:schemeClr>
              </a:solidFill>
              <a:ln>
                <a:noFill/>
              </a:ln>
              <a:effectLst/>
            </c:spPr>
            <c:extLst>
              <c:ext xmlns:c16="http://schemas.microsoft.com/office/drawing/2014/chart" uri="{C3380CC4-5D6E-409C-BE32-E72D297353CC}">
                <c16:uniqueId val="{0000001D-CDA2-48FF-8D70-6417523E98B9}"/>
              </c:ext>
            </c:extLst>
          </c:dPt>
          <c:dPt>
            <c:idx val="24"/>
            <c:invertIfNegative val="0"/>
            <c:bubble3D val="0"/>
            <c:spPr>
              <a:solidFill>
                <a:schemeClr val="bg2">
                  <a:lumMod val="75000"/>
                </a:schemeClr>
              </a:solidFill>
              <a:ln>
                <a:noFill/>
              </a:ln>
              <a:effectLst/>
            </c:spPr>
            <c:extLst>
              <c:ext xmlns:c16="http://schemas.microsoft.com/office/drawing/2014/chart" uri="{C3380CC4-5D6E-409C-BE32-E72D297353CC}">
                <c16:uniqueId val="{0000001E-CDA2-48FF-8D70-6417523E98B9}"/>
              </c:ext>
            </c:extLst>
          </c:dPt>
          <c:dPt>
            <c:idx val="25"/>
            <c:invertIfNegative val="0"/>
            <c:bubble3D val="0"/>
            <c:spPr>
              <a:solidFill>
                <a:schemeClr val="bg2">
                  <a:lumMod val="75000"/>
                </a:schemeClr>
              </a:solidFill>
              <a:ln>
                <a:noFill/>
              </a:ln>
              <a:effectLst/>
            </c:spPr>
            <c:extLst>
              <c:ext xmlns:c16="http://schemas.microsoft.com/office/drawing/2014/chart" uri="{C3380CC4-5D6E-409C-BE32-E72D297353CC}">
                <c16:uniqueId val="{0000001F-CDA2-48FF-8D70-6417523E98B9}"/>
              </c:ext>
            </c:extLst>
          </c:dPt>
          <c:dPt>
            <c:idx val="26"/>
            <c:invertIfNegative val="0"/>
            <c:bubble3D val="0"/>
            <c:spPr>
              <a:solidFill>
                <a:schemeClr val="bg2">
                  <a:lumMod val="75000"/>
                </a:schemeClr>
              </a:solidFill>
              <a:ln>
                <a:noFill/>
              </a:ln>
              <a:effectLst/>
            </c:spPr>
            <c:extLst>
              <c:ext xmlns:c16="http://schemas.microsoft.com/office/drawing/2014/chart" uri="{C3380CC4-5D6E-409C-BE32-E72D297353CC}">
                <c16:uniqueId val="{00000020-CDA2-48FF-8D70-6417523E98B9}"/>
              </c:ext>
            </c:extLst>
          </c:dPt>
          <c:dPt>
            <c:idx val="27"/>
            <c:invertIfNegative val="0"/>
            <c:bubble3D val="0"/>
            <c:spPr>
              <a:solidFill>
                <a:schemeClr val="bg2">
                  <a:lumMod val="75000"/>
                </a:schemeClr>
              </a:solidFill>
              <a:ln>
                <a:noFill/>
              </a:ln>
              <a:effectLst/>
            </c:spPr>
            <c:extLst>
              <c:ext xmlns:c16="http://schemas.microsoft.com/office/drawing/2014/chart" uri="{C3380CC4-5D6E-409C-BE32-E72D297353CC}">
                <c16:uniqueId val="{00000021-CDA2-48FF-8D70-6417523E98B9}"/>
              </c:ext>
            </c:extLst>
          </c:dPt>
          <c:dPt>
            <c:idx val="28"/>
            <c:invertIfNegative val="0"/>
            <c:bubble3D val="0"/>
            <c:spPr>
              <a:solidFill>
                <a:schemeClr val="bg2">
                  <a:lumMod val="75000"/>
                </a:schemeClr>
              </a:solidFill>
              <a:ln>
                <a:noFill/>
              </a:ln>
              <a:effectLst/>
            </c:spPr>
            <c:extLst>
              <c:ext xmlns:c16="http://schemas.microsoft.com/office/drawing/2014/chart" uri="{C3380CC4-5D6E-409C-BE32-E72D297353CC}">
                <c16:uniqueId val="{00000022-CDA2-48FF-8D70-6417523E98B9}"/>
              </c:ext>
            </c:extLst>
          </c:dPt>
          <c:dPt>
            <c:idx val="29"/>
            <c:invertIfNegative val="0"/>
            <c:bubble3D val="0"/>
            <c:spPr>
              <a:solidFill>
                <a:schemeClr val="bg2">
                  <a:lumMod val="75000"/>
                </a:schemeClr>
              </a:solidFill>
              <a:ln>
                <a:noFill/>
              </a:ln>
              <a:effectLst/>
            </c:spPr>
            <c:extLst>
              <c:ext xmlns:c16="http://schemas.microsoft.com/office/drawing/2014/chart" uri="{C3380CC4-5D6E-409C-BE32-E72D297353CC}">
                <c16:uniqueId val="{00000023-CDA2-48FF-8D70-6417523E98B9}"/>
              </c:ext>
            </c:extLst>
          </c:dPt>
          <c:dPt>
            <c:idx val="30"/>
            <c:invertIfNegative val="0"/>
            <c:bubble3D val="0"/>
            <c:spPr>
              <a:solidFill>
                <a:schemeClr val="bg2">
                  <a:lumMod val="75000"/>
                </a:schemeClr>
              </a:solidFill>
              <a:ln>
                <a:noFill/>
              </a:ln>
              <a:effectLst/>
            </c:spPr>
            <c:extLst>
              <c:ext xmlns:c16="http://schemas.microsoft.com/office/drawing/2014/chart" uri="{C3380CC4-5D6E-409C-BE32-E72D297353CC}">
                <c16:uniqueId val="{00000024-CDA2-48FF-8D70-6417523E98B9}"/>
              </c:ext>
            </c:extLst>
          </c:dPt>
          <c:dPt>
            <c:idx val="31"/>
            <c:invertIfNegative val="0"/>
            <c:bubble3D val="0"/>
            <c:spPr>
              <a:solidFill>
                <a:schemeClr val="bg2">
                  <a:lumMod val="75000"/>
                </a:schemeClr>
              </a:solidFill>
              <a:ln>
                <a:noFill/>
              </a:ln>
              <a:effectLst/>
            </c:spPr>
            <c:extLst>
              <c:ext xmlns:c16="http://schemas.microsoft.com/office/drawing/2014/chart" uri="{C3380CC4-5D6E-409C-BE32-E72D297353CC}">
                <c16:uniqueId val="{00000025-CDA2-48FF-8D70-6417523E98B9}"/>
              </c:ext>
            </c:extLst>
          </c:dPt>
          <c:dPt>
            <c:idx val="32"/>
            <c:invertIfNegative val="0"/>
            <c:bubble3D val="0"/>
            <c:spPr>
              <a:solidFill>
                <a:schemeClr val="bg2">
                  <a:lumMod val="75000"/>
                </a:schemeClr>
              </a:solidFill>
              <a:ln>
                <a:noFill/>
              </a:ln>
              <a:effectLst/>
            </c:spPr>
            <c:extLst>
              <c:ext xmlns:c16="http://schemas.microsoft.com/office/drawing/2014/chart" uri="{C3380CC4-5D6E-409C-BE32-E72D297353CC}">
                <c16:uniqueId val="{00000026-CDA2-48FF-8D70-6417523E98B9}"/>
              </c:ext>
            </c:extLst>
          </c:dPt>
          <c:dPt>
            <c:idx val="33"/>
            <c:invertIfNegative val="0"/>
            <c:bubble3D val="0"/>
            <c:spPr>
              <a:solidFill>
                <a:schemeClr val="bg2">
                  <a:lumMod val="75000"/>
                </a:schemeClr>
              </a:solidFill>
              <a:ln>
                <a:noFill/>
              </a:ln>
              <a:effectLst/>
            </c:spPr>
            <c:extLst>
              <c:ext xmlns:c16="http://schemas.microsoft.com/office/drawing/2014/chart" uri="{C3380CC4-5D6E-409C-BE32-E72D297353CC}">
                <c16:uniqueId val="{00000027-CDA2-48FF-8D70-6417523E98B9}"/>
              </c:ext>
            </c:extLst>
          </c:dPt>
          <c:dPt>
            <c:idx val="34"/>
            <c:invertIfNegative val="0"/>
            <c:bubble3D val="0"/>
            <c:spPr>
              <a:solidFill>
                <a:schemeClr val="bg2">
                  <a:lumMod val="75000"/>
                </a:schemeClr>
              </a:solidFill>
              <a:ln>
                <a:noFill/>
              </a:ln>
              <a:effectLst/>
            </c:spPr>
            <c:extLst>
              <c:ext xmlns:c16="http://schemas.microsoft.com/office/drawing/2014/chart" uri="{C3380CC4-5D6E-409C-BE32-E72D297353CC}">
                <c16:uniqueId val="{00000028-CDA2-48FF-8D70-6417523E98B9}"/>
              </c:ext>
            </c:extLst>
          </c:dPt>
          <c:dPt>
            <c:idx val="35"/>
            <c:invertIfNegative val="0"/>
            <c:bubble3D val="0"/>
            <c:spPr>
              <a:solidFill>
                <a:schemeClr val="bg2">
                  <a:lumMod val="75000"/>
                </a:schemeClr>
              </a:solidFill>
              <a:ln>
                <a:noFill/>
              </a:ln>
              <a:effectLst/>
            </c:spPr>
            <c:extLst>
              <c:ext xmlns:c16="http://schemas.microsoft.com/office/drawing/2014/chart" uri="{C3380CC4-5D6E-409C-BE32-E72D297353CC}">
                <c16:uniqueId val="{00000029-CDA2-48FF-8D70-6417523E98B9}"/>
              </c:ext>
            </c:extLst>
          </c:dPt>
          <c:dPt>
            <c:idx val="36"/>
            <c:invertIfNegative val="0"/>
            <c:bubble3D val="0"/>
            <c:spPr>
              <a:solidFill>
                <a:schemeClr val="bg2">
                  <a:lumMod val="75000"/>
                </a:schemeClr>
              </a:solidFill>
              <a:ln>
                <a:noFill/>
              </a:ln>
              <a:effectLst/>
            </c:spPr>
            <c:extLst>
              <c:ext xmlns:c16="http://schemas.microsoft.com/office/drawing/2014/chart" uri="{C3380CC4-5D6E-409C-BE32-E72D297353CC}">
                <c16:uniqueId val="{0000002A-CDA2-48FF-8D70-6417523E98B9}"/>
              </c:ext>
            </c:extLst>
          </c:dPt>
          <c:dPt>
            <c:idx val="37"/>
            <c:invertIfNegative val="0"/>
            <c:bubble3D val="0"/>
            <c:spPr>
              <a:solidFill>
                <a:schemeClr val="bg2">
                  <a:lumMod val="75000"/>
                </a:schemeClr>
              </a:solidFill>
              <a:ln>
                <a:noFill/>
              </a:ln>
              <a:effectLst/>
            </c:spPr>
            <c:extLst>
              <c:ext xmlns:c16="http://schemas.microsoft.com/office/drawing/2014/chart" uri="{C3380CC4-5D6E-409C-BE32-E72D297353CC}">
                <c16:uniqueId val="{0000002B-CDA2-48FF-8D70-6417523E98B9}"/>
              </c:ext>
            </c:extLst>
          </c:dPt>
          <c:dPt>
            <c:idx val="38"/>
            <c:invertIfNegative val="0"/>
            <c:bubble3D val="0"/>
            <c:spPr>
              <a:solidFill>
                <a:schemeClr val="bg2">
                  <a:lumMod val="75000"/>
                </a:schemeClr>
              </a:solidFill>
              <a:ln>
                <a:noFill/>
              </a:ln>
              <a:effectLst/>
            </c:spPr>
            <c:extLst>
              <c:ext xmlns:c16="http://schemas.microsoft.com/office/drawing/2014/chart" uri="{C3380CC4-5D6E-409C-BE32-E72D297353CC}">
                <c16:uniqueId val="{0000002C-CDA2-48FF-8D70-6417523E98B9}"/>
              </c:ext>
            </c:extLst>
          </c:dPt>
          <c:dPt>
            <c:idx val="39"/>
            <c:invertIfNegative val="0"/>
            <c:bubble3D val="0"/>
            <c:spPr>
              <a:solidFill>
                <a:schemeClr val="bg2">
                  <a:lumMod val="75000"/>
                </a:schemeClr>
              </a:solidFill>
              <a:ln>
                <a:noFill/>
              </a:ln>
              <a:effectLst/>
            </c:spPr>
            <c:extLst>
              <c:ext xmlns:c16="http://schemas.microsoft.com/office/drawing/2014/chart" uri="{C3380CC4-5D6E-409C-BE32-E72D297353CC}">
                <c16:uniqueId val="{0000002D-CDA2-48FF-8D70-6417523E98B9}"/>
              </c:ext>
            </c:extLst>
          </c:dPt>
          <c:dPt>
            <c:idx val="40"/>
            <c:invertIfNegative val="0"/>
            <c:bubble3D val="0"/>
            <c:spPr>
              <a:solidFill>
                <a:schemeClr val="bg2">
                  <a:lumMod val="75000"/>
                </a:schemeClr>
              </a:solidFill>
              <a:ln>
                <a:noFill/>
              </a:ln>
              <a:effectLst/>
            </c:spPr>
            <c:extLst>
              <c:ext xmlns:c16="http://schemas.microsoft.com/office/drawing/2014/chart" uri="{C3380CC4-5D6E-409C-BE32-E72D297353CC}">
                <c16:uniqueId val="{0000002E-CDA2-48FF-8D70-6417523E98B9}"/>
              </c:ext>
            </c:extLst>
          </c:dPt>
          <c:dPt>
            <c:idx val="41"/>
            <c:invertIfNegative val="0"/>
            <c:bubble3D val="0"/>
            <c:spPr>
              <a:solidFill>
                <a:schemeClr val="bg2">
                  <a:lumMod val="75000"/>
                </a:schemeClr>
              </a:solidFill>
              <a:ln>
                <a:noFill/>
              </a:ln>
              <a:effectLst/>
            </c:spPr>
            <c:extLst>
              <c:ext xmlns:c16="http://schemas.microsoft.com/office/drawing/2014/chart" uri="{C3380CC4-5D6E-409C-BE32-E72D297353CC}">
                <c16:uniqueId val="{0000002F-CDA2-48FF-8D70-6417523E98B9}"/>
              </c:ext>
            </c:extLst>
          </c:dPt>
          <c:dPt>
            <c:idx val="42"/>
            <c:invertIfNegative val="0"/>
            <c:bubble3D val="0"/>
            <c:spPr>
              <a:solidFill>
                <a:schemeClr val="bg2">
                  <a:lumMod val="75000"/>
                </a:schemeClr>
              </a:solidFill>
              <a:ln>
                <a:noFill/>
              </a:ln>
              <a:effectLst/>
            </c:spPr>
            <c:extLst>
              <c:ext xmlns:c16="http://schemas.microsoft.com/office/drawing/2014/chart" uri="{C3380CC4-5D6E-409C-BE32-E72D297353CC}">
                <c16:uniqueId val="{00000030-CDA2-48FF-8D70-6417523E98B9}"/>
              </c:ext>
            </c:extLst>
          </c:dPt>
          <c:dPt>
            <c:idx val="43"/>
            <c:invertIfNegative val="0"/>
            <c:bubble3D val="0"/>
            <c:spPr>
              <a:solidFill>
                <a:schemeClr val="bg2">
                  <a:lumMod val="75000"/>
                </a:schemeClr>
              </a:solidFill>
              <a:ln>
                <a:noFill/>
              </a:ln>
              <a:effectLst/>
            </c:spPr>
            <c:extLst>
              <c:ext xmlns:c16="http://schemas.microsoft.com/office/drawing/2014/chart" uri="{C3380CC4-5D6E-409C-BE32-E72D297353CC}">
                <c16:uniqueId val="{00000031-CDA2-48FF-8D70-6417523E98B9}"/>
              </c:ext>
            </c:extLst>
          </c:dPt>
          <c:dPt>
            <c:idx val="44"/>
            <c:invertIfNegative val="0"/>
            <c:bubble3D val="0"/>
            <c:spPr>
              <a:solidFill>
                <a:schemeClr val="bg2">
                  <a:lumMod val="75000"/>
                </a:schemeClr>
              </a:solidFill>
              <a:ln>
                <a:noFill/>
              </a:ln>
              <a:effectLst/>
            </c:spPr>
            <c:extLst>
              <c:ext xmlns:c16="http://schemas.microsoft.com/office/drawing/2014/chart" uri="{C3380CC4-5D6E-409C-BE32-E72D297353CC}">
                <c16:uniqueId val="{00000032-CDA2-48FF-8D70-6417523E98B9}"/>
              </c:ext>
            </c:extLst>
          </c:dPt>
          <c:dPt>
            <c:idx val="45"/>
            <c:invertIfNegative val="0"/>
            <c:bubble3D val="0"/>
            <c:spPr>
              <a:solidFill>
                <a:schemeClr val="accent2">
                  <a:lumMod val="40000"/>
                  <a:lumOff val="60000"/>
                </a:schemeClr>
              </a:solidFill>
              <a:ln>
                <a:noFill/>
              </a:ln>
              <a:effectLst/>
            </c:spPr>
            <c:extLst>
              <c:ext xmlns:c16="http://schemas.microsoft.com/office/drawing/2014/chart" uri="{C3380CC4-5D6E-409C-BE32-E72D297353CC}">
                <c16:uniqueId val="{0000000A-CDA2-48FF-8D70-6417523E98B9}"/>
              </c:ext>
            </c:extLst>
          </c:dPt>
          <c:dPt>
            <c:idx val="46"/>
            <c:invertIfNegative val="0"/>
            <c:bubble3D val="0"/>
            <c:spPr>
              <a:solidFill>
                <a:schemeClr val="accent2">
                  <a:lumMod val="40000"/>
                  <a:lumOff val="60000"/>
                </a:schemeClr>
              </a:solidFill>
              <a:ln>
                <a:noFill/>
              </a:ln>
              <a:effectLst/>
            </c:spPr>
            <c:extLst>
              <c:ext xmlns:c16="http://schemas.microsoft.com/office/drawing/2014/chart" uri="{C3380CC4-5D6E-409C-BE32-E72D297353CC}">
                <c16:uniqueId val="{00000009-CDA2-48FF-8D70-6417523E98B9}"/>
              </c:ext>
            </c:extLst>
          </c:dPt>
          <c:dPt>
            <c:idx val="47"/>
            <c:invertIfNegative val="0"/>
            <c:bubble3D val="0"/>
            <c:spPr>
              <a:solidFill>
                <a:schemeClr val="accent2">
                  <a:lumMod val="40000"/>
                  <a:lumOff val="60000"/>
                </a:schemeClr>
              </a:solidFill>
              <a:ln>
                <a:noFill/>
              </a:ln>
              <a:effectLst/>
            </c:spPr>
            <c:extLst>
              <c:ext xmlns:c16="http://schemas.microsoft.com/office/drawing/2014/chart" uri="{C3380CC4-5D6E-409C-BE32-E72D297353CC}">
                <c16:uniqueId val="{00000008-CDA2-48FF-8D70-6417523E98B9}"/>
              </c:ext>
            </c:extLst>
          </c:dPt>
          <c:dPt>
            <c:idx val="48"/>
            <c:invertIfNegative val="0"/>
            <c:bubble3D val="0"/>
            <c:spPr>
              <a:solidFill>
                <a:schemeClr val="accent2">
                  <a:lumMod val="40000"/>
                  <a:lumOff val="60000"/>
                </a:schemeClr>
              </a:solidFill>
              <a:ln>
                <a:noFill/>
              </a:ln>
              <a:effectLst/>
            </c:spPr>
            <c:extLst>
              <c:ext xmlns:c16="http://schemas.microsoft.com/office/drawing/2014/chart" uri="{C3380CC4-5D6E-409C-BE32-E72D297353CC}">
                <c16:uniqueId val="{00000007-CDA2-48FF-8D70-6417523E98B9}"/>
              </c:ext>
            </c:extLst>
          </c:dPt>
          <c:dPt>
            <c:idx val="49"/>
            <c:invertIfNegative val="0"/>
            <c:bubble3D val="0"/>
            <c:spPr>
              <a:solidFill>
                <a:schemeClr val="accent2">
                  <a:lumMod val="40000"/>
                  <a:lumOff val="60000"/>
                </a:schemeClr>
              </a:solidFill>
              <a:ln>
                <a:noFill/>
              </a:ln>
              <a:effectLst/>
            </c:spPr>
            <c:extLst>
              <c:ext xmlns:c16="http://schemas.microsoft.com/office/drawing/2014/chart" uri="{C3380CC4-5D6E-409C-BE32-E72D297353CC}">
                <c16:uniqueId val="{00000006-CDA2-48FF-8D70-6417523E98B9}"/>
              </c:ext>
            </c:extLst>
          </c:dPt>
          <c:dLbls>
            <c:dLbl>
              <c:idx val="5"/>
              <c:delete val="1"/>
              <c:extLst>
                <c:ext xmlns:c15="http://schemas.microsoft.com/office/drawing/2012/chart" uri="{CE6537A1-D6FC-4f65-9D91-7224C49458BB}"/>
                <c:ext xmlns:c16="http://schemas.microsoft.com/office/drawing/2014/chart" uri="{C3380CC4-5D6E-409C-BE32-E72D297353CC}">
                  <c16:uniqueId val="{0000000B-CDA2-48FF-8D70-6417523E98B9}"/>
                </c:ext>
              </c:extLst>
            </c:dLbl>
            <c:dLbl>
              <c:idx val="6"/>
              <c:delete val="1"/>
              <c:extLst>
                <c:ext xmlns:c15="http://schemas.microsoft.com/office/drawing/2012/chart" uri="{CE6537A1-D6FC-4f65-9D91-7224C49458BB}"/>
                <c:ext xmlns:c16="http://schemas.microsoft.com/office/drawing/2014/chart" uri="{C3380CC4-5D6E-409C-BE32-E72D297353CC}">
                  <c16:uniqueId val="{0000000C-CDA2-48FF-8D70-6417523E98B9}"/>
                </c:ext>
              </c:extLst>
            </c:dLbl>
            <c:dLbl>
              <c:idx val="7"/>
              <c:delete val="1"/>
              <c:extLst>
                <c:ext xmlns:c15="http://schemas.microsoft.com/office/drawing/2012/chart" uri="{CE6537A1-D6FC-4f65-9D91-7224C49458BB}"/>
                <c:ext xmlns:c16="http://schemas.microsoft.com/office/drawing/2014/chart" uri="{C3380CC4-5D6E-409C-BE32-E72D297353CC}">
                  <c16:uniqueId val="{0000000D-CDA2-48FF-8D70-6417523E98B9}"/>
                </c:ext>
              </c:extLst>
            </c:dLbl>
            <c:dLbl>
              <c:idx val="8"/>
              <c:delete val="1"/>
              <c:extLst>
                <c:ext xmlns:c15="http://schemas.microsoft.com/office/drawing/2012/chart" uri="{CE6537A1-D6FC-4f65-9D91-7224C49458BB}"/>
                <c:ext xmlns:c16="http://schemas.microsoft.com/office/drawing/2014/chart" uri="{C3380CC4-5D6E-409C-BE32-E72D297353CC}">
                  <c16:uniqueId val="{0000000E-CDA2-48FF-8D70-6417523E98B9}"/>
                </c:ext>
              </c:extLst>
            </c:dLbl>
            <c:dLbl>
              <c:idx val="9"/>
              <c:delete val="1"/>
              <c:extLst>
                <c:ext xmlns:c15="http://schemas.microsoft.com/office/drawing/2012/chart" uri="{CE6537A1-D6FC-4f65-9D91-7224C49458BB}"/>
                <c:ext xmlns:c16="http://schemas.microsoft.com/office/drawing/2014/chart" uri="{C3380CC4-5D6E-409C-BE32-E72D297353CC}">
                  <c16:uniqueId val="{0000000F-CDA2-48FF-8D70-6417523E98B9}"/>
                </c:ext>
              </c:extLst>
            </c:dLbl>
            <c:dLbl>
              <c:idx val="10"/>
              <c:delete val="1"/>
              <c:extLst>
                <c:ext xmlns:c15="http://schemas.microsoft.com/office/drawing/2012/chart" uri="{CE6537A1-D6FC-4f65-9D91-7224C49458BB}"/>
                <c:ext xmlns:c16="http://schemas.microsoft.com/office/drawing/2014/chart" uri="{C3380CC4-5D6E-409C-BE32-E72D297353CC}">
                  <c16:uniqueId val="{00000010-CDA2-48FF-8D70-6417523E98B9}"/>
                </c:ext>
              </c:extLst>
            </c:dLbl>
            <c:dLbl>
              <c:idx val="11"/>
              <c:delete val="1"/>
              <c:extLst>
                <c:ext xmlns:c15="http://schemas.microsoft.com/office/drawing/2012/chart" uri="{CE6537A1-D6FC-4f65-9D91-7224C49458BB}"/>
                <c:ext xmlns:c16="http://schemas.microsoft.com/office/drawing/2014/chart" uri="{C3380CC4-5D6E-409C-BE32-E72D297353CC}">
                  <c16:uniqueId val="{00000011-CDA2-48FF-8D70-6417523E98B9}"/>
                </c:ext>
              </c:extLst>
            </c:dLbl>
            <c:dLbl>
              <c:idx val="12"/>
              <c:delete val="1"/>
              <c:extLst>
                <c:ext xmlns:c15="http://schemas.microsoft.com/office/drawing/2012/chart" uri="{CE6537A1-D6FC-4f65-9D91-7224C49458BB}"/>
                <c:ext xmlns:c16="http://schemas.microsoft.com/office/drawing/2014/chart" uri="{C3380CC4-5D6E-409C-BE32-E72D297353CC}">
                  <c16:uniqueId val="{00000012-CDA2-48FF-8D70-6417523E98B9}"/>
                </c:ext>
              </c:extLst>
            </c:dLbl>
            <c:dLbl>
              <c:idx val="13"/>
              <c:delete val="1"/>
              <c:extLst>
                <c:ext xmlns:c15="http://schemas.microsoft.com/office/drawing/2012/chart" uri="{CE6537A1-D6FC-4f65-9D91-7224C49458BB}"/>
                <c:ext xmlns:c16="http://schemas.microsoft.com/office/drawing/2014/chart" uri="{C3380CC4-5D6E-409C-BE32-E72D297353CC}">
                  <c16:uniqueId val="{00000014-CDA2-48FF-8D70-6417523E98B9}"/>
                </c:ext>
              </c:extLst>
            </c:dLbl>
            <c:dLbl>
              <c:idx val="14"/>
              <c:delete val="1"/>
              <c:extLst>
                <c:ext xmlns:c15="http://schemas.microsoft.com/office/drawing/2012/chart" uri="{CE6537A1-D6FC-4f65-9D91-7224C49458BB}"/>
                <c:ext xmlns:c16="http://schemas.microsoft.com/office/drawing/2014/chart" uri="{C3380CC4-5D6E-409C-BE32-E72D297353CC}">
                  <c16:uniqueId val="{00000013-CDA2-48FF-8D70-6417523E98B9}"/>
                </c:ext>
              </c:extLst>
            </c:dLbl>
            <c:dLbl>
              <c:idx val="15"/>
              <c:delete val="1"/>
              <c:extLst>
                <c:ext xmlns:c15="http://schemas.microsoft.com/office/drawing/2012/chart" uri="{CE6537A1-D6FC-4f65-9D91-7224C49458BB}"/>
                <c:ext xmlns:c16="http://schemas.microsoft.com/office/drawing/2014/chart" uri="{C3380CC4-5D6E-409C-BE32-E72D297353CC}">
                  <c16:uniqueId val="{00000015-CDA2-48FF-8D70-6417523E98B9}"/>
                </c:ext>
              </c:extLst>
            </c:dLbl>
            <c:dLbl>
              <c:idx val="16"/>
              <c:delete val="1"/>
              <c:extLst>
                <c:ext xmlns:c15="http://schemas.microsoft.com/office/drawing/2012/chart" uri="{CE6537A1-D6FC-4f65-9D91-7224C49458BB}"/>
                <c:ext xmlns:c16="http://schemas.microsoft.com/office/drawing/2014/chart" uri="{C3380CC4-5D6E-409C-BE32-E72D297353CC}">
                  <c16:uniqueId val="{00000016-CDA2-48FF-8D70-6417523E98B9}"/>
                </c:ext>
              </c:extLst>
            </c:dLbl>
            <c:dLbl>
              <c:idx val="17"/>
              <c:delete val="1"/>
              <c:extLst>
                <c:ext xmlns:c15="http://schemas.microsoft.com/office/drawing/2012/chart" uri="{CE6537A1-D6FC-4f65-9D91-7224C49458BB}"/>
                <c:ext xmlns:c16="http://schemas.microsoft.com/office/drawing/2014/chart" uri="{C3380CC4-5D6E-409C-BE32-E72D297353CC}">
                  <c16:uniqueId val="{00000017-CDA2-48FF-8D70-6417523E98B9}"/>
                </c:ext>
              </c:extLst>
            </c:dLbl>
            <c:dLbl>
              <c:idx val="18"/>
              <c:delete val="1"/>
              <c:extLst>
                <c:ext xmlns:c15="http://schemas.microsoft.com/office/drawing/2012/chart" uri="{CE6537A1-D6FC-4f65-9D91-7224C49458BB}"/>
                <c:ext xmlns:c16="http://schemas.microsoft.com/office/drawing/2014/chart" uri="{C3380CC4-5D6E-409C-BE32-E72D297353CC}">
                  <c16:uniqueId val="{00000018-CDA2-48FF-8D70-6417523E98B9}"/>
                </c:ext>
              </c:extLst>
            </c:dLbl>
            <c:dLbl>
              <c:idx val="19"/>
              <c:delete val="1"/>
              <c:extLst>
                <c:ext xmlns:c15="http://schemas.microsoft.com/office/drawing/2012/chart" uri="{CE6537A1-D6FC-4f65-9D91-7224C49458BB}"/>
                <c:ext xmlns:c16="http://schemas.microsoft.com/office/drawing/2014/chart" uri="{C3380CC4-5D6E-409C-BE32-E72D297353CC}">
                  <c16:uniqueId val="{00000019-CDA2-48FF-8D70-6417523E98B9}"/>
                </c:ext>
              </c:extLst>
            </c:dLbl>
            <c:dLbl>
              <c:idx val="20"/>
              <c:delete val="1"/>
              <c:extLst>
                <c:ext xmlns:c15="http://schemas.microsoft.com/office/drawing/2012/chart" uri="{CE6537A1-D6FC-4f65-9D91-7224C49458BB}"/>
                <c:ext xmlns:c16="http://schemas.microsoft.com/office/drawing/2014/chart" uri="{C3380CC4-5D6E-409C-BE32-E72D297353CC}">
                  <c16:uniqueId val="{0000001A-CDA2-48FF-8D70-6417523E98B9}"/>
                </c:ext>
              </c:extLst>
            </c:dLbl>
            <c:dLbl>
              <c:idx val="21"/>
              <c:delete val="1"/>
              <c:extLst>
                <c:ext xmlns:c15="http://schemas.microsoft.com/office/drawing/2012/chart" uri="{CE6537A1-D6FC-4f65-9D91-7224C49458BB}"/>
                <c:ext xmlns:c16="http://schemas.microsoft.com/office/drawing/2014/chart" uri="{C3380CC4-5D6E-409C-BE32-E72D297353CC}">
                  <c16:uniqueId val="{0000001B-CDA2-48FF-8D70-6417523E98B9}"/>
                </c:ext>
              </c:extLst>
            </c:dLbl>
            <c:dLbl>
              <c:idx val="22"/>
              <c:delete val="1"/>
              <c:extLst>
                <c:ext xmlns:c15="http://schemas.microsoft.com/office/drawing/2012/chart" uri="{CE6537A1-D6FC-4f65-9D91-7224C49458BB}"/>
                <c:ext xmlns:c16="http://schemas.microsoft.com/office/drawing/2014/chart" uri="{C3380CC4-5D6E-409C-BE32-E72D297353CC}">
                  <c16:uniqueId val="{0000001C-CDA2-48FF-8D70-6417523E98B9}"/>
                </c:ext>
              </c:extLst>
            </c:dLbl>
            <c:dLbl>
              <c:idx val="23"/>
              <c:delete val="1"/>
              <c:extLst>
                <c:ext xmlns:c15="http://schemas.microsoft.com/office/drawing/2012/chart" uri="{CE6537A1-D6FC-4f65-9D91-7224C49458BB}"/>
                <c:ext xmlns:c16="http://schemas.microsoft.com/office/drawing/2014/chart" uri="{C3380CC4-5D6E-409C-BE32-E72D297353CC}">
                  <c16:uniqueId val="{0000001D-CDA2-48FF-8D70-6417523E98B9}"/>
                </c:ext>
              </c:extLst>
            </c:dLbl>
            <c:dLbl>
              <c:idx val="24"/>
              <c:delete val="1"/>
              <c:extLst>
                <c:ext xmlns:c15="http://schemas.microsoft.com/office/drawing/2012/chart" uri="{CE6537A1-D6FC-4f65-9D91-7224C49458BB}"/>
                <c:ext xmlns:c16="http://schemas.microsoft.com/office/drawing/2014/chart" uri="{C3380CC4-5D6E-409C-BE32-E72D297353CC}">
                  <c16:uniqueId val="{0000001E-CDA2-48FF-8D70-6417523E98B9}"/>
                </c:ext>
              </c:extLst>
            </c:dLbl>
            <c:dLbl>
              <c:idx val="25"/>
              <c:delete val="1"/>
              <c:extLst>
                <c:ext xmlns:c15="http://schemas.microsoft.com/office/drawing/2012/chart" uri="{CE6537A1-D6FC-4f65-9D91-7224C49458BB}"/>
                <c:ext xmlns:c16="http://schemas.microsoft.com/office/drawing/2014/chart" uri="{C3380CC4-5D6E-409C-BE32-E72D297353CC}">
                  <c16:uniqueId val="{0000001F-CDA2-48FF-8D70-6417523E98B9}"/>
                </c:ext>
              </c:extLst>
            </c:dLbl>
            <c:dLbl>
              <c:idx val="26"/>
              <c:delete val="1"/>
              <c:extLst>
                <c:ext xmlns:c15="http://schemas.microsoft.com/office/drawing/2012/chart" uri="{CE6537A1-D6FC-4f65-9D91-7224C49458BB}"/>
                <c:ext xmlns:c16="http://schemas.microsoft.com/office/drawing/2014/chart" uri="{C3380CC4-5D6E-409C-BE32-E72D297353CC}">
                  <c16:uniqueId val="{00000020-CDA2-48FF-8D70-6417523E98B9}"/>
                </c:ext>
              </c:extLst>
            </c:dLbl>
            <c:dLbl>
              <c:idx val="27"/>
              <c:delete val="1"/>
              <c:extLst>
                <c:ext xmlns:c15="http://schemas.microsoft.com/office/drawing/2012/chart" uri="{CE6537A1-D6FC-4f65-9D91-7224C49458BB}"/>
                <c:ext xmlns:c16="http://schemas.microsoft.com/office/drawing/2014/chart" uri="{C3380CC4-5D6E-409C-BE32-E72D297353CC}">
                  <c16:uniqueId val="{00000021-CDA2-48FF-8D70-6417523E98B9}"/>
                </c:ext>
              </c:extLst>
            </c:dLbl>
            <c:dLbl>
              <c:idx val="28"/>
              <c:delete val="1"/>
              <c:extLst>
                <c:ext xmlns:c15="http://schemas.microsoft.com/office/drawing/2012/chart" uri="{CE6537A1-D6FC-4f65-9D91-7224C49458BB}"/>
                <c:ext xmlns:c16="http://schemas.microsoft.com/office/drawing/2014/chart" uri="{C3380CC4-5D6E-409C-BE32-E72D297353CC}">
                  <c16:uniqueId val="{00000022-CDA2-48FF-8D70-6417523E98B9}"/>
                </c:ext>
              </c:extLst>
            </c:dLbl>
            <c:dLbl>
              <c:idx val="29"/>
              <c:delete val="1"/>
              <c:extLst>
                <c:ext xmlns:c15="http://schemas.microsoft.com/office/drawing/2012/chart" uri="{CE6537A1-D6FC-4f65-9D91-7224C49458BB}"/>
                <c:ext xmlns:c16="http://schemas.microsoft.com/office/drawing/2014/chart" uri="{C3380CC4-5D6E-409C-BE32-E72D297353CC}">
                  <c16:uniqueId val="{00000023-CDA2-48FF-8D70-6417523E98B9}"/>
                </c:ext>
              </c:extLst>
            </c:dLbl>
            <c:dLbl>
              <c:idx val="30"/>
              <c:delete val="1"/>
              <c:extLst>
                <c:ext xmlns:c15="http://schemas.microsoft.com/office/drawing/2012/chart" uri="{CE6537A1-D6FC-4f65-9D91-7224C49458BB}"/>
                <c:ext xmlns:c16="http://schemas.microsoft.com/office/drawing/2014/chart" uri="{C3380CC4-5D6E-409C-BE32-E72D297353CC}">
                  <c16:uniqueId val="{00000024-CDA2-48FF-8D70-6417523E98B9}"/>
                </c:ext>
              </c:extLst>
            </c:dLbl>
            <c:dLbl>
              <c:idx val="31"/>
              <c:delete val="1"/>
              <c:extLst>
                <c:ext xmlns:c15="http://schemas.microsoft.com/office/drawing/2012/chart" uri="{CE6537A1-D6FC-4f65-9D91-7224C49458BB}"/>
                <c:ext xmlns:c16="http://schemas.microsoft.com/office/drawing/2014/chart" uri="{C3380CC4-5D6E-409C-BE32-E72D297353CC}">
                  <c16:uniqueId val="{00000025-CDA2-48FF-8D70-6417523E98B9}"/>
                </c:ext>
              </c:extLst>
            </c:dLbl>
            <c:dLbl>
              <c:idx val="32"/>
              <c:delete val="1"/>
              <c:extLst>
                <c:ext xmlns:c15="http://schemas.microsoft.com/office/drawing/2012/chart" uri="{CE6537A1-D6FC-4f65-9D91-7224C49458BB}"/>
                <c:ext xmlns:c16="http://schemas.microsoft.com/office/drawing/2014/chart" uri="{C3380CC4-5D6E-409C-BE32-E72D297353CC}">
                  <c16:uniqueId val="{00000026-CDA2-48FF-8D70-6417523E98B9}"/>
                </c:ext>
              </c:extLst>
            </c:dLbl>
            <c:dLbl>
              <c:idx val="33"/>
              <c:delete val="1"/>
              <c:extLst>
                <c:ext xmlns:c15="http://schemas.microsoft.com/office/drawing/2012/chart" uri="{CE6537A1-D6FC-4f65-9D91-7224C49458BB}"/>
                <c:ext xmlns:c16="http://schemas.microsoft.com/office/drawing/2014/chart" uri="{C3380CC4-5D6E-409C-BE32-E72D297353CC}">
                  <c16:uniqueId val="{00000027-CDA2-48FF-8D70-6417523E98B9}"/>
                </c:ext>
              </c:extLst>
            </c:dLbl>
            <c:dLbl>
              <c:idx val="34"/>
              <c:delete val="1"/>
              <c:extLst>
                <c:ext xmlns:c15="http://schemas.microsoft.com/office/drawing/2012/chart" uri="{CE6537A1-D6FC-4f65-9D91-7224C49458BB}"/>
                <c:ext xmlns:c16="http://schemas.microsoft.com/office/drawing/2014/chart" uri="{C3380CC4-5D6E-409C-BE32-E72D297353CC}">
                  <c16:uniqueId val="{00000028-CDA2-48FF-8D70-6417523E98B9}"/>
                </c:ext>
              </c:extLst>
            </c:dLbl>
            <c:dLbl>
              <c:idx val="35"/>
              <c:delete val="1"/>
              <c:extLst>
                <c:ext xmlns:c15="http://schemas.microsoft.com/office/drawing/2012/chart" uri="{CE6537A1-D6FC-4f65-9D91-7224C49458BB}"/>
                <c:ext xmlns:c16="http://schemas.microsoft.com/office/drawing/2014/chart" uri="{C3380CC4-5D6E-409C-BE32-E72D297353CC}">
                  <c16:uniqueId val="{00000029-CDA2-48FF-8D70-6417523E98B9}"/>
                </c:ext>
              </c:extLst>
            </c:dLbl>
            <c:dLbl>
              <c:idx val="36"/>
              <c:delete val="1"/>
              <c:extLst>
                <c:ext xmlns:c15="http://schemas.microsoft.com/office/drawing/2012/chart" uri="{CE6537A1-D6FC-4f65-9D91-7224C49458BB}"/>
                <c:ext xmlns:c16="http://schemas.microsoft.com/office/drawing/2014/chart" uri="{C3380CC4-5D6E-409C-BE32-E72D297353CC}">
                  <c16:uniqueId val="{0000002A-CDA2-48FF-8D70-6417523E98B9}"/>
                </c:ext>
              </c:extLst>
            </c:dLbl>
            <c:dLbl>
              <c:idx val="37"/>
              <c:delete val="1"/>
              <c:extLst>
                <c:ext xmlns:c15="http://schemas.microsoft.com/office/drawing/2012/chart" uri="{CE6537A1-D6FC-4f65-9D91-7224C49458BB}"/>
                <c:ext xmlns:c16="http://schemas.microsoft.com/office/drawing/2014/chart" uri="{C3380CC4-5D6E-409C-BE32-E72D297353CC}">
                  <c16:uniqueId val="{0000002B-CDA2-48FF-8D70-6417523E98B9}"/>
                </c:ext>
              </c:extLst>
            </c:dLbl>
            <c:dLbl>
              <c:idx val="38"/>
              <c:delete val="1"/>
              <c:extLst>
                <c:ext xmlns:c15="http://schemas.microsoft.com/office/drawing/2012/chart" uri="{CE6537A1-D6FC-4f65-9D91-7224C49458BB}"/>
                <c:ext xmlns:c16="http://schemas.microsoft.com/office/drawing/2014/chart" uri="{C3380CC4-5D6E-409C-BE32-E72D297353CC}">
                  <c16:uniqueId val="{0000002C-CDA2-48FF-8D70-6417523E98B9}"/>
                </c:ext>
              </c:extLst>
            </c:dLbl>
            <c:dLbl>
              <c:idx val="39"/>
              <c:delete val="1"/>
              <c:extLst>
                <c:ext xmlns:c15="http://schemas.microsoft.com/office/drawing/2012/chart" uri="{CE6537A1-D6FC-4f65-9D91-7224C49458BB}"/>
                <c:ext xmlns:c16="http://schemas.microsoft.com/office/drawing/2014/chart" uri="{C3380CC4-5D6E-409C-BE32-E72D297353CC}">
                  <c16:uniqueId val="{0000002D-CDA2-48FF-8D70-6417523E98B9}"/>
                </c:ext>
              </c:extLst>
            </c:dLbl>
            <c:dLbl>
              <c:idx val="40"/>
              <c:delete val="1"/>
              <c:extLst>
                <c:ext xmlns:c15="http://schemas.microsoft.com/office/drawing/2012/chart" uri="{CE6537A1-D6FC-4f65-9D91-7224C49458BB}"/>
                <c:ext xmlns:c16="http://schemas.microsoft.com/office/drawing/2014/chart" uri="{C3380CC4-5D6E-409C-BE32-E72D297353CC}">
                  <c16:uniqueId val="{0000002E-CDA2-48FF-8D70-6417523E98B9}"/>
                </c:ext>
              </c:extLst>
            </c:dLbl>
            <c:dLbl>
              <c:idx val="41"/>
              <c:delete val="1"/>
              <c:extLst>
                <c:ext xmlns:c15="http://schemas.microsoft.com/office/drawing/2012/chart" uri="{CE6537A1-D6FC-4f65-9D91-7224C49458BB}"/>
                <c:ext xmlns:c16="http://schemas.microsoft.com/office/drawing/2014/chart" uri="{C3380CC4-5D6E-409C-BE32-E72D297353CC}">
                  <c16:uniqueId val="{0000002F-CDA2-48FF-8D70-6417523E98B9}"/>
                </c:ext>
              </c:extLst>
            </c:dLbl>
            <c:dLbl>
              <c:idx val="42"/>
              <c:delete val="1"/>
              <c:extLst>
                <c:ext xmlns:c15="http://schemas.microsoft.com/office/drawing/2012/chart" uri="{CE6537A1-D6FC-4f65-9D91-7224C49458BB}"/>
                <c:ext xmlns:c16="http://schemas.microsoft.com/office/drawing/2014/chart" uri="{C3380CC4-5D6E-409C-BE32-E72D297353CC}">
                  <c16:uniqueId val="{00000030-CDA2-48FF-8D70-6417523E98B9}"/>
                </c:ext>
              </c:extLst>
            </c:dLbl>
            <c:dLbl>
              <c:idx val="43"/>
              <c:delete val="1"/>
              <c:extLst>
                <c:ext xmlns:c15="http://schemas.microsoft.com/office/drawing/2012/chart" uri="{CE6537A1-D6FC-4f65-9D91-7224C49458BB}"/>
                <c:ext xmlns:c16="http://schemas.microsoft.com/office/drawing/2014/chart" uri="{C3380CC4-5D6E-409C-BE32-E72D297353CC}">
                  <c16:uniqueId val="{00000031-CDA2-48FF-8D70-6417523E98B9}"/>
                </c:ext>
              </c:extLst>
            </c:dLbl>
            <c:dLbl>
              <c:idx val="44"/>
              <c:delete val="1"/>
              <c:extLst>
                <c:ext xmlns:c15="http://schemas.microsoft.com/office/drawing/2012/chart" uri="{CE6537A1-D6FC-4f65-9D91-7224C49458BB}"/>
                <c:ext xmlns:c16="http://schemas.microsoft.com/office/drawing/2014/chart" uri="{C3380CC4-5D6E-409C-BE32-E72D297353CC}">
                  <c16:uniqueId val="{00000032-CDA2-48FF-8D70-6417523E98B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Pivot!$A$2:$A$52</c:f>
              <c:strCache>
                <c:ptCount val="50"/>
                <c:pt idx="0">
                  <c:v>Maryland</c:v>
                </c:pt>
                <c:pt idx="1">
                  <c:v>Massachusetts</c:v>
                </c:pt>
                <c:pt idx="2">
                  <c:v>New Jersey</c:v>
                </c:pt>
                <c:pt idx="3">
                  <c:v>California</c:v>
                </c:pt>
                <c:pt idx="4">
                  <c:v>Connecticut</c:v>
                </c:pt>
                <c:pt idx="5">
                  <c:v>New Hampshire</c:v>
                </c:pt>
                <c:pt idx="6">
                  <c:v>Hawaii</c:v>
                </c:pt>
                <c:pt idx="7">
                  <c:v>Washington</c:v>
                </c:pt>
                <c:pt idx="8">
                  <c:v>Alaska</c:v>
                </c:pt>
                <c:pt idx="9">
                  <c:v>Colorado</c:v>
                </c:pt>
                <c:pt idx="10">
                  <c:v>Virginia</c:v>
                </c:pt>
                <c:pt idx="11">
                  <c:v>Utah</c:v>
                </c:pt>
                <c:pt idx="12">
                  <c:v>Minnesota</c:v>
                </c:pt>
                <c:pt idx="13">
                  <c:v>Illinois</c:v>
                </c:pt>
                <c:pt idx="14">
                  <c:v>New York</c:v>
                </c:pt>
                <c:pt idx="15">
                  <c:v>Pennsylvania</c:v>
                </c:pt>
                <c:pt idx="16">
                  <c:v>Rhode Island</c:v>
                </c:pt>
                <c:pt idx="17">
                  <c:v>Delaware</c:v>
                </c:pt>
                <c:pt idx="18">
                  <c:v>Oregon</c:v>
                </c:pt>
                <c:pt idx="19">
                  <c:v>Wisconsin</c:v>
                </c:pt>
                <c:pt idx="20">
                  <c:v>North Dakota</c:v>
                </c:pt>
                <c:pt idx="21">
                  <c:v>Texas</c:v>
                </c:pt>
                <c:pt idx="22">
                  <c:v>Arizona</c:v>
                </c:pt>
                <c:pt idx="23">
                  <c:v>Iowa</c:v>
                </c:pt>
                <c:pt idx="24">
                  <c:v>Michigan</c:v>
                </c:pt>
                <c:pt idx="25">
                  <c:v>Wyoming</c:v>
                </c:pt>
                <c:pt idx="26">
                  <c:v>Nevada</c:v>
                </c:pt>
                <c:pt idx="27">
                  <c:v>Nebraska</c:v>
                </c:pt>
                <c:pt idx="28">
                  <c:v>Kansas</c:v>
                </c:pt>
                <c:pt idx="29">
                  <c:v>Georgia</c:v>
                </c:pt>
                <c:pt idx="30">
                  <c:v>Vermont</c:v>
                </c:pt>
                <c:pt idx="31">
                  <c:v>Florida</c:v>
                </c:pt>
                <c:pt idx="32">
                  <c:v>Indiana</c:v>
                </c:pt>
                <c:pt idx="33">
                  <c:v>Ohio</c:v>
                </c:pt>
                <c:pt idx="34">
                  <c:v>South Dakota</c:v>
                </c:pt>
                <c:pt idx="35">
                  <c:v>Missouri</c:v>
                </c:pt>
                <c:pt idx="36">
                  <c:v>Tennessee</c:v>
                </c:pt>
                <c:pt idx="37">
                  <c:v>Maine</c:v>
                </c:pt>
                <c:pt idx="38">
                  <c:v>Montana</c:v>
                </c:pt>
                <c:pt idx="39">
                  <c:v>North Carolina</c:v>
                </c:pt>
                <c:pt idx="40">
                  <c:v>Idaho</c:v>
                </c:pt>
                <c:pt idx="41">
                  <c:v>South Carolina</c:v>
                </c:pt>
                <c:pt idx="42">
                  <c:v>Oklahoma</c:v>
                </c:pt>
                <c:pt idx="43">
                  <c:v>Alabama</c:v>
                </c:pt>
                <c:pt idx="44">
                  <c:v>Louisiana</c:v>
                </c:pt>
                <c:pt idx="45">
                  <c:v>Kentucky</c:v>
                </c:pt>
                <c:pt idx="46">
                  <c:v>Arkansas</c:v>
                </c:pt>
                <c:pt idx="47">
                  <c:v>New Mexico</c:v>
                </c:pt>
                <c:pt idx="48">
                  <c:v>Mississippi</c:v>
                </c:pt>
                <c:pt idx="49">
                  <c:v>West Virginia</c:v>
                </c:pt>
              </c:strCache>
            </c:strRef>
          </c:cat>
          <c:val>
            <c:numRef>
              <c:f>Pivot!$B$2:$B$52</c:f>
              <c:numCache>
                <c:formatCode>_(* #,##0_);_(* \(#,##0\);_(* "-"??_);_(@_)</c:formatCode>
                <c:ptCount val="50"/>
                <c:pt idx="0">
                  <c:v>89392</c:v>
                </c:pt>
                <c:pt idx="1">
                  <c:v>82427</c:v>
                </c:pt>
                <c:pt idx="2">
                  <c:v>81740</c:v>
                </c:pt>
                <c:pt idx="3">
                  <c:v>80440</c:v>
                </c:pt>
                <c:pt idx="4">
                  <c:v>79287</c:v>
                </c:pt>
                <c:pt idx="5">
                  <c:v>78676</c:v>
                </c:pt>
                <c:pt idx="6">
                  <c:v>78084</c:v>
                </c:pt>
                <c:pt idx="7">
                  <c:v>77338</c:v>
                </c:pt>
                <c:pt idx="8">
                  <c:v>76440</c:v>
                </c:pt>
                <c:pt idx="9">
                  <c:v>76240</c:v>
                </c:pt>
                <c:pt idx="10">
                  <c:v>75417</c:v>
                </c:pt>
                <c:pt idx="11">
                  <c:v>72558</c:v>
                </c:pt>
                <c:pt idx="12">
                  <c:v>72027</c:v>
                </c:pt>
                <c:pt idx="13">
                  <c:v>70387</c:v>
                </c:pt>
                <c:pt idx="14">
                  <c:v>70137</c:v>
                </c:pt>
                <c:pt idx="15">
                  <c:v>65135</c:v>
                </c:pt>
                <c:pt idx="16">
                  <c:v>64962</c:v>
                </c:pt>
                <c:pt idx="17">
                  <c:v>64040</c:v>
                </c:pt>
                <c:pt idx="18">
                  <c:v>63835</c:v>
                </c:pt>
                <c:pt idx="19">
                  <c:v>63795</c:v>
                </c:pt>
                <c:pt idx="20">
                  <c:v>63715</c:v>
                </c:pt>
                <c:pt idx="21">
                  <c:v>63656</c:v>
                </c:pt>
                <c:pt idx="22">
                  <c:v>62283</c:v>
                </c:pt>
                <c:pt idx="23">
                  <c:v>62075</c:v>
                </c:pt>
                <c:pt idx="24">
                  <c:v>61347</c:v>
                </c:pt>
                <c:pt idx="25">
                  <c:v>60434</c:v>
                </c:pt>
                <c:pt idx="26">
                  <c:v>60106</c:v>
                </c:pt>
                <c:pt idx="27">
                  <c:v>59929</c:v>
                </c:pt>
                <c:pt idx="28">
                  <c:v>59046</c:v>
                </c:pt>
                <c:pt idx="29">
                  <c:v>58932</c:v>
                </c:pt>
                <c:pt idx="30">
                  <c:v>58305</c:v>
                </c:pt>
                <c:pt idx="31">
                  <c:v>58108</c:v>
                </c:pt>
                <c:pt idx="32">
                  <c:v>57881</c:v>
                </c:pt>
                <c:pt idx="33">
                  <c:v>56583</c:v>
                </c:pt>
                <c:pt idx="34">
                  <c:v>56499</c:v>
                </c:pt>
                <c:pt idx="35">
                  <c:v>55685</c:v>
                </c:pt>
                <c:pt idx="36">
                  <c:v>55107</c:v>
                </c:pt>
                <c:pt idx="37">
                  <c:v>54927</c:v>
                </c:pt>
                <c:pt idx="38">
                  <c:v>54875</c:v>
                </c:pt>
                <c:pt idx="39">
                  <c:v>54560</c:v>
                </c:pt>
                <c:pt idx="40">
                  <c:v>53545</c:v>
                </c:pt>
                <c:pt idx="41">
                  <c:v>52536</c:v>
                </c:pt>
                <c:pt idx="42">
                  <c:v>51424</c:v>
                </c:pt>
                <c:pt idx="43">
                  <c:v>51113</c:v>
                </c:pt>
                <c:pt idx="44">
                  <c:v>50686</c:v>
                </c:pt>
                <c:pt idx="45">
                  <c:v>50675</c:v>
                </c:pt>
                <c:pt idx="46">
                  <c:v>48829</c:v>
                </c:pt>
                <c:pt idx="47">
                  <c:v>48701</c:v>
                </c:pt>
                <c:pt idx="48">
                  <c:v>47131</c:v>
                </c:pt>
                <c:pt idx="49">
                  <c:v>46254</c:v>
                </c:pt>
              </c:numCache>
            </c:numRef>
          </c:val>
          <c:extLst>
            <c:ext xmlns:c16="http://schemas.microsoft.com/office/drawing/2014/chart" uri="{C3380CC4-5D6E-409C-BE32-E72D297353CC}">
              <c16:uniqueId val="{00000000-CDA2-48FF-8D70-6417523E98B9}"/>
            </c:ext>
          </c:extLst>
        </c:ser>
        <c:dLbls>
          <c:dLblPos val="outEnd"/>
          <c:showLegendKey val="0"/>
          <c:showVal val="1"/>
          <c:showCatName val="0"/>
          <c:showSerName val="0"/>
          <c:showPercent val="0"/>
          <c:showBubbleSize val="0"/>
        </c:dLbls>
        <c:gapWidth val="182"/>
        <c:axId val="408023872"/>
        <c:axId val="408030760"/>
      </c:barChart>
      <c:catAx>
        <c:axId val="4080238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Gadugi" panose="020B0502040204020203" pitchFamily="34" charset="0"/>
                <a:ea typeface="Gadugi" panose="020B0502040204020203" pitchFamily="34" charset="0"/>
                <a:cs typeface="+mn-cs"/>
              </a:defRPr>
            </a:pPr>
            <a:endParaRPr lang="en-US"/>
          </a:p>
        </c:txPr>
        <c:crossAx val="408030760"/>
        <c:crosses val="autoZero"/>
        <c:auto val="1"/>
        <c:lblAlgn val="ctr"/>
        <c:lblOffset val="100"/>
        <c:noMultiLvlLbl val="0"/>
      </c:catAx>
      <c:valAx>
        <c:axId val="408030760"/>
        <c:scaling>
          <c:orientation val="minMax"/>
        </c:scaling>
        <c:delete val="1"/>
        <c:axPos val="b"/>
        <c:numFmt formatCode="_(* #,##0_);_(* \(#,##0\);_(* &quot;-&quot;??_);_(@_)" sourceLinked="1"/>
        <c:majorTickMark val="none"/>
        <c:minorTickMark val="none"/>
        <c:tickLblPos val="nextTo"/>
        <c:crossAx val="40802387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latin typeface="Gadugi" panose="020B0502040204020203" pitchFamily="34" charset="0"/>
                <a:ea typeface="Gadugi" panose="020B0502040204020203" pitchFamily="34" charset="0"/>
              </a:rPr>
              <a:t>State</a:t>
            </a:r>
            <a:r>
              <a:rPr lang="en-US" b="1" baseline="0">
                <a:solidFill>
                  <a:sysClr val="windowText" lastClr="000000"/>
                </a:solidFill>
                <a:latin typeface="Gadugi" panose="020B0502040204020203" pitchFamily="34" charset="0"/>
                <a:ea typeface="Gadugi" panose="020B0502040204020203" pitchFamily="34" charset="0"/>
              </a:rPr>
              <a:t> Income vs Corruption Per Capita</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'scatter chart'!$C$2</c:f>
              <c:strCache>
                <c:ptCount val="1"/>
                <c:pt idx="0">
                  <c:v>conviction_per_capita</c:v>
                </c:pt>
              </c:strCache>
            </c:strRef>
          </c:tx>
          <c:spPr>
            <a:ln w="25400" cap="rnd">
              <a:noFill/>
              <a:round/>
            </a:ln>
            <a:effectLst/>
          </c:spPr>
          <c:marker>
            <c:symbol val="x"/>
            <c:size val="5"/>
            <c:spPr>
              <a:noFill/>
              <a:ln w="19050">
                <a:solidFill>
                  <a:srgbClr val="7030A0"/>
                </a:solidFill>
              </a:ln>
              <a:effectLst/>
            </c:spPr>
          </c:marker>
          <c:xVal>
            <c:numRef>
              <c:f>'scatter chart'!$B$3:$B$52</c:f>
              <c:numCache>
                <c:formatCode>General</c:formatCode>
                <c:ptCount val="50"/>
                <c:pt idx="0">
                  <c:v>150619</c:v>
                </c:pt>
                <c:pt idx="1">
                  <c:v>151556</c:v>
                </c:pt>
                <c:pt idx="2">
                  <c:v>153680</c:v>
                </c:pt>
                <c:pt idx="3">
                  <c:v>161909</c:v>
                </c:pt>
                <c:pt idx="4">
                  <c:v>162868</c:v>
                </c:pt>
                <c:pt idx="5">
                  <c:v>164275</c:v>
                </c:pt>
                <c:pt idx="6">
                  <c:v>168368</c:v>
                </c:pt>
                <c:pt idx="7">
                  <c:v>171289</c:v>
                </c:pt>
                <c:pt idx="8">
                  <c:v>172105</c:v>
                </c:pt>
                <c:pt idx="9">
                  <c:v>172244</c:v>
                </c:pt>
                <c:pt idx="10">
                  <c:v>173028</c:v>
                </c:pt>
                <c:pt idx="11">
                  <c:v>173081</c:v>
                </c:pt>
                <c:pt idx="12">
                  <c:v>173375</c:v>
                </c:pt>
                <c:pt idx="13">
                  <c:v>175516</c:v>
                </c:pt>
                <c:pt idx="14">
                  <c:v>179253</c:v>
                </c:pt>
                <c:pt idx="15">
                  <c:v>179504</c:v>
                </c:pt>
                <c:pt idx="16">
                  <c:v>181021</c:v>
                </c:pt>
                <c:pt idx="17">
                  <c:v>182393</c:v>
                </c:pt>
                <c:pt idx="18">
                  <c:v>186809</c:v>
                </c:pt>
                <c:pt idx="19">
                  <c:v>187447</c:v>
                </c:pt>
                <c:pt idx="20">
                  <c:v>190086</c:v>
                </c:pt>
                <c:pt idx="21">
                  <c:v>190894</c:v>
                </c:pt>
                <c:pt idx="22">
                  <c:v>190945</c:v>
                </c:pt>
                <c:pt idx="23">
                  <c:v>192356</c:v>
                </c:pt>
                <c:pt idx="24">
                  <c:v>194139</c:v>
                </c:pt>
                <c:pt idx="25">
                  <c:v>199150</c:v>
                </c:pt>
                <c:pt idx="26">
                  <c:v>199723</c:v>
                </c:pt>
                <c:pt idx="27">
                  <c:v>201619</c:v>
                </c:pt>
                <c:pt idx="28">
                  <c:v>205338</c:v>
                </c:pt>
                <c:pt idx="29">
                  <c:v>209536</c:v>
                </c:pt>
                <c:pt idx="30">
                  <c:v>210571</c:v>
                </c:pt>
                <c:pt idx="31">
                  <c:v>214092</c:v>
                </c:pt>
                <c:pt idx="32">
                  <c:v>214908</c:v>
                </c:pt>
                <c:pt idx="33">
                  <c:v>215053</c:v>
                </c:pt>
                <c:pt idx="34">
                  <c:v>224328</c:v>
                </c:pt>
                <c:pt idx="35">
                  <c:v>229483</c:v>
                </c:pt>
                <c:pt idx="36">
                  <c:v>230518</c:v>
                </c:pt>
                <c:pt idx="37">
                  <c:v>232027</c:v>
                </c:pt>
                <c:pt idx="38">
                  <c:v>236451</c:v>
                </c:pt>
                <c:pt idx="39">
                  <c:v>242590</c:v>
                </c:pt>
                <c:pt idx="40">
                  <c:v>245370</c:v>
                </c:pt>
                <c:pt idx="41">
                  <c:v>245977</c:v>
                </c:pt>
                <c:pt idx="42">
                  <c:v>255322</c:v>
                </c:pt>
                <c:pt idx="43">
                  <c:v>256413</c:v>
                </c:pt>
                <c:pt idx="44">
                  <c:v>259309</c:v>
                </c:pt>
                <c:pt idx="45">
                  <c:v>261893</c:v>
                </c:pt>
                <c:pt idx="46">
                  <c:v>266367</c:v>
                </c:pt>
                <c:pt idx="47">
                  <c:v>267403</c:v>
                </c:pt>
                <c:pt idx="48">
                  <c:v>282737</c:v>
                </c:pt>
                <c:pt idx="49">
                  <c:v>299270</c:v>
                </c:pt>
              </c:numCache>
            </c:numRef>
          </c:xVal>
          <c:yVal>
            <c:numRef>
              <c:f>'scatter chart'!$C$3:$C$52</c:f>
              <c:numCache>
                <c:formatCode>General</c:formatCode>
                <c:ptCount val="50"/>
                <c:pt idx="0">
                  <c:v>2.14</c:v>
                </c:pt>
                <c:pt idx="1">
                  <c:v>2.4300000000000002</c:v>
                </c:pt>
                <c:pt idx="2">
                  <c:v>5.64</c:v>
                </c:pt>
                <c:pt idx="3">
                  <c:v>3.02</c:v>
                </c:pt>
                <c:pt idx="4">
                  <c:v>1.6</c:v>
                </c:pt>
                <c:pt idx="5">
                  <c:v>3.23</c:v>
                </c:pt>
                <c:pt idx="6">
                  <c:v>3.72</c:v>
                </c:pt>
                <c:pt idx="7">
                  <c:v>1.1200000000000001</c:v>
                </c:pt>
                <c:pt idx="8">
                  <c:v>2.15</c:v>
                </c:pt>
                <c:pt idx="9">
                  <c:v>1.0900000000000001</c:v>
                </c:pt>
                <c:pt idx="10">
                  <c:v>1.05</c:v>
                </c:pt>
                <c:pt idx="11">
                  <c:v>0.87</c:v>
                </c:pt>
                <c:pt idx="12">
                  <c:v>2.04</c:v>
                </c:pt>
                <c:pt idx="13">
                  <c:v>1.5</c:v>
                </c:pt>
                <c:pt idx="14">
                  <c:v>0.48</c:v>
                </c:pt>
                <c:pt idx="15">
                  <c:v>3.69</c:v>
                </c:pt>
                <c:pt idx="16">
                  <c:v>0.89</c:v>
                </c:pt>
                <c:pt idx="17">
                  <c:v>0.9</c:v>
                </c:pt>
                <c:pt idx="18">
                  <c:v>1.02</c:v>
                </c:pt>
                <c:pt idx="19">
                  <c:v>0.56999999999999995</c:v>
                </c:pt>
                <c:pt idx="20">
                  <c:v>0.56999999999999995</c:v>
                </c:pt>
                <c:pt idx="21">
                  <c:v>0.44</c:v>
                </c:pt>
                <c:pt idx="22">
                  <c:v>1.65</c:v>
                </c:pt>
                <c:pt idx="23">
                  <c:v>0.57999999999999996</c:v>
                </c:pt>
                <c:pt idx="24">
                  <c:v>1.03</c:v>
                </c:pt>
                <c:pt idx="25">
                  <c:v>1.6</c:v>
                </c:pt>
                <c:pt idx="26">
                  <c:v>1.63</c:v>
                </c:pt>
                <c:pt idx="27">
                  <c:v>1</c:v>
                </c:pt>
                <c:pt idx="28">
                  <c:v>1.4</c:v>
                </c:pt>
                <c:pt idx="29">
                  <c:v>1.82</c:v>
                </c:pt>
                <c:pt idx="30">
                  <c:v>1.0900000000000001</c:v>
                </c:pt>
                <c:pt idx="31">
                  <c:v>1.87</c:v>
                </c:pt>
                <c:pt idx="32">
                  <c:v>1.08</c:v>
                </c:pt>
                <c:pt idx="33">
                  <c:v>1.25</c:v>
                </c:pt>
                <c:pt idx="34">
                  <c:v>8.35</c:v>
                </c:pt>
                <c:pt idx="35">
                  <c:v>1.27</c:v>
                </c:pt>
                <c:pt idx="36">
                  <c:v>0.68</c:v>
                </c:pt>
                <c:pt idx="37">
                  <c:v>1.59</c:v>
                </c:pt>
                <c:pt idx="38">
                  <c:v>1.1299999999999999</c:v>
                </c:pt>
                <c:pt idx="39">
                  <c:v>0.8</c:v>
                </c:pt>
                <c:pt idx="40">
                  <c:v>0.43</c:v>
                </c:pt>
                <c:pt idx="41">
                  <c:v>1.06</c:v>
                </c:pt>
                <c:pt idx="42">
                  <c:v>0.51</c:v>
                </c:pt>
                <c:pt idx="43">
                  <c:v>2.5299999999999998</c:v>
                </c:pt>
                <c:pt idx="44">
                  <c:v>2.0099999999999998</c:v>
                </c:pt>
                <c:pt idx="45">
                  <c:v>1.57</c:v>
                </c:pt>
                <c:pt idx="46">
                  <c:v>2.27</c:v>
                </c:pt>
                <c:pt idx="47">
                  <c:v>1.0900000000000001</c:v>
                </c:pt>
                <c:pt idx="48">
                  <c:v>1.9</c:v>
                </c:pt>
                <c:pt idx="49">
                  <c:v>1.38</c:v>
                </c:pt>
              </c:numCache>
            </c:numRef>
          </c:yVal>
          <c:smooth val="0"/>
          <c:extLst>
            <c:ext xmlns:c16="http://schemas.microsoft.com/office/drawing/2014/chart" uri="{C3380CC4-5D6E-409C-BE32-E72D297353CC}">
              <c16:uniqueId val="{00000000-6DCF-469E-996E-82FEF07C6C65}"/>
            </c:ext>
          </c:extLst>
        </c:ser>
        <c:dLbls>
          <c:showLegendKey val="0"/>
          <c:showVal val="0"/>
          <c:showCatName val="0"/>
          <c:showSerName val="0"/>
          <c:showPercent val="0"/>
          <c:showBubbleSize val="0"/>
        </c:dLbls>
        <c:axId val="327781224"/>
        <c:axId val="327781552"/>
      </c:scatterChart>
      <c:valAx>
        <c:axId val="327781224"/>
        <c:scaling>
          <c:orientation val="minMax"/>
          <c:max val="310000"/>
          <c:min val="1400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0">
                    <a:solidFill>
                      <a:sysClr val="windowText" lastClr="000000"/>
                    </a:solidFill>
                    <a:latin typeface="Gadugi" panose="020B0502040204020203" pitchFamily="34" charset="0"/>
                    <a:ea typeface="Gadugi" panose="020B0502040204020203" pitchFamily="34" charset="0"/>
                  </a:rPr>
                  <a:t>Total</a:t>
                </a:r>
                <a:r>
                  <a:rPr lang="en-US" b="0" baseline="0">
                    <a:solidFill>
                      <a:sysClr val="windowText" lastClr="000000"/>
                    </a:solidFill>
                    <a:latin typeface="Gadugi" panose="020B0502040204020203" pitchFamily="34" charset="0"/>
                    <a:ea typeface="Gadugi" panose="020B0502040204020203" pitchFamily="34" charset="0"/>
                  </a:rPr>
                  <a:t> </a:t>
                </a:r>
                <a:r>
                  <a:rPr lang="en-US" b="0">
                    <a:solidFill>
                      <a:sysClr val="windowText" lastClr="000000"/>
                    </a:solidFill>
                    <a:latin typeface="Gadugi" panose="020B0502040204020203" pitchFamily="34" charset="0"/>
                    <a:ea typeface="Gadugi" panose="020B0502040204020203" pitchFamily="34" charset="0"/>
                  </a:rPr>
                  <a:t>State Income</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crossAx val="327781552"/>
        <c:crosses val="autoZero"/>
        <c:crossBetween val="midCat"/>
      </c:valAx>
      <c:valAx>
        <c:axId val="3277815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0">
                    <a:solidFill>
                      <a:sysClr val="windowText" lastClr="000000"/>
                    </a:solidFill>
                    <a:latin typeface="Gadugi" panose="020B0502040204020203" pitchFamily="34" charset="0"/>
                    <a:ea typeface="Gadugi" panose="020B0502040204020203" pitchFamily="34" charset="0"/>
                  </a:rPr>
                  <a:t>Conviction</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32778122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3</xdr:col>
      <xdr:colOff>171449</xdr:colOff>
      <xdr:row>0</xdr:row>
      <xdr:rowOff>66674</xdr:rowOff>
    </xdr:from>
    <xdr:to>
      <xdr:col>20</xdr:col>
      <xdr:colOff>314325</xdr:colOff>
      <xdr:row>40</xdr:row>
      <xdr:rowOff>19050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5</xdr:col>
      <xdr:colOff>19048</xdr:colOff>
      <xdr:row>0</xdr:row>
      <xdr:rowOff>190499</xdr:rowOff>
    </xdr:from>
    <xdr:to>
      <xdr:col>14</xdr:col>
      <xdr:colOff>333374</xdr:colOff>
      <xdr:row>18</xdr:row>
      <xdr:rowOff>180975</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Windows User" refreshedDate="45129.645319675925" createdVersion="6" refreshedVersion="6" minRefreshableVersion="3" recordCount="50">
  <cacheSource type="worksheet">
    <worksheetSource name="Table1"/>
  </cacheSource>
  <cacheFields count="8">
    <cacheField name="state_usa" numFmtId="0">
      <sharedItems count="50">
        <s v="Alabama"/>
        <s v="Alaska"/>
        <s v="Arizona"/>
        <s v="Arkansas"/>
        <s v="California"/>
        <s v="Colorado"/>
        <s v="Connecticut"/>
        <s v="Delaware"/>
        <s v="Florida"/>
        <s v="Georgia"/>
        <s v="Hawaii"/>
        <s v="Idaho"/>
        <s v="Illinois"/>
        <s v="Indiana"/>
        <s v="Iowa"/>
        <s v="Kansas"/>
        <s v="Kentucky"/>
        <s v="Louisiana"/>
        <s v="Maine"/>
        <s v="Maryland"/>
        <s v="Massachusetts"/>
        <s v="Michigan"/>
        <s v="Minnesota"/>
        <s v="Mississippi"/>
        <s v="Missouri"/>
        <s v="Montana"/>
        <s v="Nebraska"/>
        <s v="Nevada"/>
        <s v="New Hampshire"/>
        <s v="New Jersey"/>
        <s v="New Mexico"/>
        <s v="New York"/>
        <s v="North Carolina"/>
        <s v="North Dakota"/>
        <s v="Ohio"/>
        <s v="Oklahoma"/>
        <s v="Oregon"/>
        <s v="Pennsylvania"/>
        <s v="Rhode Island"/>
        <s v="South Carolina"/>
        <s v="South Dakota"/>
        <s v="Tennessee"/>
        <s v="Texas"/>
        <s v="Utah"/>
        <s v="Vermont"/>
        <s v="Virginia"/>
        <s v="Washington"/>
        <s v="West Virginia"/>
        <s v="Wisconsin"/>
        <s v="Wyoming"/>
      </sharedItems>
    </cacheField>
    <cacheField name="average_income" numFmtId="0">
      <sharedItems containsSemiMixedTypes="0" containsString="0" containsNumber="1" containsInteger="1" minValue="46254" maxValue="89392"/>
    </cacheField>
    <cacheField name="minimum_income" numFmtId="0">
      <sharedItems containsSemiMixedTypes="0" containsString="0" containsNumber="1" containsInteger="1" minValue="21967" maxValue="42343"/>
    </cacheField>
    <cacheField name="maximum_income" numFmtId="0">
      <sharedItems containsSemiMixedTypes="0" containsString="0" containsNumber="1" containsInteger="1" minValue="78605" maxValue="167535"/>
    </cacheField>
    <cacheField name="conviction_per_capita" numFmtId="0">
      <sharedItems containsSemiMixedTypes="0" containsString="0" containsNumber="1" minValue="0.43" maxValue="8.35" count="46">
        <n v="2.15"/>
        <n v="1.06"/>
        <n v="1.4"/>
        <n v="3.02"/>
        <n v="1.0900000000000001"/>
        <n v="0.8"/>
        <n v="2.0099999999999998"/>
        <n v="1.08"/>
        <n v="1.65"/>
        <n v="1.6"/>
        <n v="0.43"/>
        <n v="1.1200000000000001"/>
        <n v="1.27"/>
        <n v="0.9"/>
        <n v="0.57999999999999996"/>
        <n v="1.02"/>
        <n v="3.72"/>
        <n v="0.48"/>
        <n v="1.38"/>
        <n v="2.27"/>
        <n v="1"/>
        <n v="0.68"/>
        <n v="2.4300000000000002"/>
        <n v="1.5"/>
        <n v="0.56999999999999995"/>
        <n v="1.63"/>
        <n v="0.51"/>
        <n v="1.9"/>
        <n v="2.14"/>
        <n v="1.59"/>
        <n v="1.05"/>
        <n v="0.89"/>
        <n v="3.23"/>
        <n v="1.87"/>
        <n v="1.25"/>
        <n v="8.35"/>
        <n v="2.04"/>
        <n v="0.87"/>
        <n v="3.69"/>
        <n v="1.82"/>
        <n v="1.1299999999999999"/>
        <n v="0.44"/>
        <n v="1.57"/>
        <n v="2.5299999999999998"/>
        <n v="5.64"/>
        <n v="1.03"/>
      </sharedItems>
    </cacheField>
    <cacheField name="total_income_state" numFmtId="0">
      <sharedItems containsSemiMixedTypes="0" containsString="0" containsNumber="1" containsInteger="1" minValue="150619" maxValue="299270" count="50">
        <n v="172105"/>
        <n v="245977"/>
        <n v="205338"/>
        <n v="161909"/>
        <n v="267403"/>
        <n v="242590"/>
        <n v="259309"/>
        <n v="214908"/>
        <n v="190945"/>
        <n v="199150"/>
        <n v="245370"/>
        <n v="171289"/>
        <n v="229483"/>
        <n v="182393"/>
        <n v="192356"/>
        <n v="186809"/>
        <n v="162868"/>
        <n v="168368"/>
        <n v="179253"/>
        <n v="299270"/>
        <n v="266367"/>
        <n v="201619"/>
        <n v="230518"/>
        <n v="151556"/>
        <n v="175516"/>
        <n v="172244"/>
        <n v="187447"/>
        <n v="199723"/>
        <n v="255322"/>
        <n v="282737"/>
        <n v="150619"/>
        <n v="232027"/>
        <n v="173028"/>
        <n v="190086"/>
        <n v="181021"/>
        <n v="164275"/>
        <n v="214092"/>
        <n v="215053"/>
        <n v="224328"/>
        <n v="173375"/>
        <n v="173081"/>
        <n v="179504"/>
        <n v="209536"/>
        <n v="236451"/>
        <n v="190894"/>
        <n v="261893"/>
        <n v="256413"/>
        <n v="153680"/>
        <n v="210571"/>
        <n v="194139"/>
      </sharedItems>
    </cacheField>
    <cacheField name="percentage_income_state" numFmtId="0">
      <sharedItems containsSemiMixedTypes="0" containsString="0" containsNumber="1" minValue="1.46" maxValue="2.91"/>
    </cacheField>
    <cacheField name="percentage_convictions_state" numFmtId="0">
      <sharedItems containsSemiMixedTypes="0" containsString="0" containsNumber="1" minValue="0.50749999999999995" maxValue="9.854799999999999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50">
  <r>
    <x v="0"/>
    <n v="51113"/>
    <n v="23999"/>
    <n v="96993"/>
    <x v="0"/>
    <x v="0"/>
    <n v="1.67"/>
    <n v="2.5375000000000001"/>
  </r>
  <r>
    <x v="1"/>
    <n v="76440"/>
    <n v="35219"/>
    <n v="134318"/>
    <x v="1"/>
    <x v="1"/>
    <n v="2.39"/>
    <n v="1.2509999999999999"/>
  </r>
  <r>
    <x v="2"/>
    <n v="62283"/>
    <n v="29466"/>
    <n v="113589"/>
    <x v="2"/>
    <x v="2"/>
    <n v="2"/>
    <n v="1.6523000000000001"/>
  </r>
  <r>
    <x v="3"/>
    <n v="48829"/>
    <n v="23028"/>
    <n v="90052"/>
    <x v="3"/>
    <x v="3"/>
    <n v="1.57"/>
    <n v="3.5642999999999998"/>
  </r>
  <r>
    <x v="4"/>
    <n v="80440"/>
    <n v="37698"/>
    <n v="149265"/>
    <x v="4"/>
    <x v="4"/>
    <n v="2.6"/>
    <n v="1.2864"/>
  </r>
  <r>
    <x v="5"/>
    <n v="76240"/>
    <n v="35636"/>
    <n v="130714"/>
    <x v="5"/>
    <x v="5"/>
    <n v="2.36"/>
    <n v="0.94420000000000004"/>
  </r>
  <r>
    <x v="6"/>
    <n v="79287"/>
    <n v="37426"/>
    <n v="142596"/>
    <x v="6"/>
    <x v="6"/>
    <n v="2.52"/>
    <n v="2.3721999999999999"/>
  </r>
  <r>
    <x v="7"/>
    <n v="64040"/>
    <n v="30544"/>
    <n v="120324"/>
    <x v="7"/>
    <x v="7"/>
    <n v="2.09"/>
    <n v="1.2746"/>
  </r>
  <r>
    <x v="8"/>
    <n v="58108"/>
    <n v="27064"/>
    <n v="105773"/>
    <x v="8"/>
    <x v="8"/>
    <n v="1.86"/>
    <n v="1.9474"/>
  </r>
  <r>
    <x v="9"/>
    <n v="58932"/>
    <n v="27609"/>
    <n v="112609"/>
    <x v="9"/>
    <x v="9"/>
    <n v="1.94"/>
    <n v="1.8884000000000001"/>
  </r>
  <r>
    <x v="10"/>
    <n v="78084"/>
    <n v="36987"/>
    <n v="130299"/>
    <x v="10"/>
    <x v="10"/>
    <n v="2.39"/>
    <n v="0.50749999999999995"/>
  </r>
  <r>
    <x v="11"/>
    <n v="53545"/>
    <n v="25119"/>
    <n v="92625"/>
    <x v="11"/>
    <x v="11"/>
    <n v="1.67"/>
    <n v="1.3218000000000001"/>
  </r>
  <r>
    <x v="12"/>
    <n v="70387"/>
    <n v="32737"/>
    <n v="126359"/>
    <x v="12"/>
    <x v="12"/>
    <n v="2.23"/>
    <n v="1.4988999999999999"/>
  </r>
  <r>
    <x v="13"/>
    <n v="57881"/>
    <n v="27050"/>
    <n v="97462"/>
    <x v="13"/>
    <x v="13"/>
    <n v="1.77"/>
    <n v="1.0622"/>
  </r>
  <r>
    <x v="14"/>
    <n v="62075"/>
    <n v="28709"/>
    <n v="101572"/>
    <x v="14"/>
    <x v="14"/>
    <n v="1.87"/>
    <n v="0.6845"/>
  </r>
  <r>
    <x v="15"/>
    <n v="59046"/>
    <n v="27487"/>
    <n v="100276"/>
    <x v="15"/>
    <x v="15"/>
    <n v="1.82"/>
    <n v="1.2038"/>
  </r>
  <r>
    <x v="16"/>
    <n v="50675"/>
    <n v="23915"/>
    <n v="88278"/>
    <x v="9"/>
    <x v="16"/>
    <n v="1.58"/>
    <n v="1.8884000000000001"/>
  </r>
  <r>
    <x v="17"/>
    <n v="50686"/>
    <n v="23855"/>
    <n v="93827"/>
    <x v="16"/>
    <x v="17"/>
    <n v="1.64"/>
    <n v="4.3903999999999996"/>
  </r>
  <r>
    <x v="18"/>
    <n v="54927"/>
    <n v="25964"/>
    <n v="98362"/>
    <x v="17"/>
    <x v="18"/>
    <n v="1.74"/>
    <n v="0.5665"/>
  </r>
  <r>
    <x v="19"/>
    <n v="89392"/>
    <n v="42343"/>
    <n v="167535"/>
    <x v="18"/>
    <x v="19"/>
    <n v="2.91"/>
    <n v="1.6287"/>
  </r>
  <r>
    <x v="20"/>
    <n v="82427"/>
    <n v="38980"/>
    <n v="144960"/>
    <x v="19"/>
    <x v="20"/>
    <n v="2.59"/>
    <n v="2.6791"/>
  </r>
  <r>
    <x v="21"/>
    <n v="61347"/>
    <n v="28357"/>
    <n v="111915"/>
    <x v="20"/>
    <x v="21"/>
    <n v="1.96"/>
    <n v="1.1801999999999999"/>
  </r>
  <r>
    <x v="22"/>
    <n v="72027"/>
    <n v="33578"/>
    <n v="124913"/>
    <x v="21"/>
    <x v="22"/>
    <n v="2.2400000000000002"/>
    <n v="0.80249999999999999"/>
  </r>
  <r>
    <x v="23"/>
    <n v="47131"/>
    <n v="22732"/>
    <n v="81693"/>
    <x v="22"/>
    <x v="23"/>
    <n v="1.47"/>
    <n v="2.8679000000000001"/>
  </r>
  <r>
    <x v="24"/>
    <n v="55685"/>
    <n v="26550"/>
    <n v="93281"/>
    <x v="23"/>
    <x v="24"/>
    <n v="1.71"/>
    <n v="1.7703"/>
  </r>
  <r>
    <x v="25"/>
    <n v="54875"/>
    <n v="25507"/>
    <n v="91862"/>
    <x v="4"/>
    <x v="25"/>
    <n v="1.67"/>
    <n v="1.2864"/>
  </r>
  <r>
    <x v="26"/>
    <n v="59929"/>
    <n v="27458"/>
    <n v="100060"/>
    <x v="24"/>
    <x v="26"/>
    <n v="1.82"/>
    <n v="0.67269999999999996"/>
  </r>
  <r>
    <x v="27"/>
    <n v="60106"/>
    <n v="26809"/>
    <n v="112808"/>
    <x v="25"/>
    <x v="27"/>
    <n v="1.94"/>
    <n v="1.9238"/>
  </r>
  <r>
    <x v="28"/>
    <n v="78676"/>
    <n v="38121"/>
    <n v="138525"/>
    <x v="26"/>
    <x v="28"/>
    <n v="2.48"/>
    <n v="0.60189999999999999"/>
  </r>
  <r>
    <x v="29"/>
    <n v="81740"/>
    <n v="39625"/>
    <n v="161372"/>
    <x v="27"/>
    <x v="29"/>
    <n v="2.75"/>
    <n v="2.2423999999999999"/>
  </r>
  <r>
    <x v="30"/>
    <n v="48701"/>
    <n v="23313"/>
    <n v="78605"/>
    <x v="28"/>
    <x v="30"/>
    <n v="1.46"/>
    <n v="2.5257000000000001"/>
  </r>
  <r>
    <x v="31"/>
    <n v="70137"/>
    <n v="33332"/>
    <n v="128558"/>
    <x v="29"/>
    <x v="31"/>
    <n v="2.2599999999999998"/>
    <n v="1.8765000000000001"/>
  </r>
  <r>
    <x v="32"/>
    <n v="54560"/>
    <n v="26202"/>
    <n v="92266"/>
    <x v="30"/>
    <x v="32"/>
    <n v="1.68"/>
    <n v="1.2392000000000001"/>
  </r>
  <r>
    <x v="33"/>
    <n v="63715"/>
    <n v="30750"/>
    <n v="95621"/>
    <x v="24"/>
    <x v="33"/>
    <n v="1.85"/>
    <n v="0.67269999999999996"/>
  </r>
  <r>
    <x v="34"/>
    <n v="56583"/>
    <n v="27214"/>
    <n v="97224"/>
    <x v="31"/>
    <x v="34"/>
    <n v="1.76"/>
    <n v="1.0504"/>
  </r>
  <r>
    <x v="35"/>
    <n v="51424"/>
    <n v="25018"/>
    <n v="87833"/>
    <x v="32"/>
    <x v="35"/>
    <n v="1.6"/>
    <n v="3.8121"/>
  </r>
  <r>
    <x v="36"/>
    <n v="63835"/>
    <n v="29709"/>
    <n v="120548"/>
    <x v="33"/>
    <x v="36"/>
    <n v="2.08"/>
    <n v="2.2069999999999999"/>
  </r>
  <r>
    <x v="37"/>
    <n v="65135"/>
    <n v="30524"/>
    <n v="119394"/>
    <x v="34"/>
    <x v="37"/>
    <n v="2.09"/>
    <n v="1.4753000000000001"/>
  </r>
  <r>
    <x v="38"/>
    <n v="64962"/>
    <n v="30811"/>
    <n v="128555"/>
    <x v="35"/>
    <x v="38"/>
    <n v="2.1800000000000002"/>
    <n v="9.8547999999999991"/>
  </r>
  <r>
    <x v="39"/>
    <n v="52536"/>
    <n v="24334"/>
    <n v="96505"/>
    <x v="36"/>
    <x v="39"/>
    <n v="1.69"/>
    <n v="2.4076"/>
  </r>
  <r>
    <x v="40"/>
    <n v="56499"/>
    <n v="26356"/>
    <n v="90226"/>
    <x v="37"/>
    <x v="40"/>
    <n v="1.68"/>
    <n v="1.0267999999999999"/>
  </r>
  <r>
    <x v="41"/>
    <n v="55107"/>
    <n v="25885"/>
    <n v="98512"/>
    <x v="38"/>
    <x v="41"/>
    <n v="1.75"/>
    <n v="4.3550000000000004"/>
  </r>
  <r>
    <x v="42"/>
    <n v="63656"/>
    <n v="29537"/>
    <n v="116343"/>
    <x v="39"/>
    <x v="42"/>
    <n v="2.04"/>
    <n v="2.1480000000000001"/>
  </r>
  <r>
    <x v="43"/>
    <n v="72558"/>
    <n v="33432"/>
    <n v="130461"/>
    <x v="40"/>
    <x v="43"/>
    <n v="2.2999999999999998"/>
    <n v="1.3335999999999999"/>
  </r>
  <r>
    <x v="44"/>
    <n v="58305"/>
    <n v="27663"/>
    <n v="104926"/>
    <x v="41"/>
    <x v="44"/>
    <n v="1.86"/>
    <n v="0.51929999999999998"/>
  </r>
  <r>
    <x v="45"/>
    <n v="75417"/>
    <n v="34723"/>
    <n v="151753"/>
    <x v="42"/>
    <x v="45"/>
    <n v="2.5499999999999998"/>
    <n v="1.8529"/>
  </r>
  <r>
    <x v="46"/>
    <n v="77338"/>
    <n v="36118"/>
    <n v="142957"/>
    <x v="43"/>
    <x v="46"/>
    <n v="2.4900000000000002"/>
    <n v="2.9860000000000002"/>
  </r>
  <r>
    <x v="47"/>
    <n v="46254"/>
    <n v="21967"/>
    <n v="85459"/>
    <x v="44"/>
    <x v="47"/>
    <n v="1.49"/>
    <n v="6.6563999999999997"/>
  </r>
  <r>
    <x v="48"/>
    <n v="63795"/>
    <n v="29622"/>
    <n v="117154"/>
    <x v="4"/>
    <x v="48"/>
    <n v="2.0499999999999998"/>
    <n v="1.2864"/>
  </r>
  <r>
    <x v="49"/>
    <n v="60434"/>
    <n v="28973"/>
    <n v="104732"/>
    <x v="45"/>
    <x v="49"/>
    <n v="1.89"/>
    <n v="1.215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1:B52" firstHeaderRow="1" firstDataRow="1" firstDataCol="1"/>
  <pivotFields count="8">
    <pivotField axis="axisRow" showAll="0" sortType="descending">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pivotField showAll="0"/>
    <pivotField showAll="0"/>
  </pivotFields>
  <rowFields count="1">
    <field x="0"/>
  </rowFields>
  <rowItems count="51">
    <i>
      <x v="19"/>
    </i>
    <i>
      <x v="20"/>
    </i>
    <i>
      <x v="29"/>
    </i>
    <i>
      <x v="4"/>
    </i>
    <i>
      <x v="6"/>
    </i>
    <i>
      <x v="28"/>
    </i>
    <i>
      <x v="10"/>
    </i>
    <i>
      <x v="46"/>
    </i>
    <i>
      <x v="1"/>
    </i>
    <i>
      <x v="5"/>
    </i>
    <i>
      <x v="45"/>
    </i>
    <i>
      <x v="43"/>
    </i>
    <i>
      <x v="22"/>
    </i>
    <i>
      <x v="12"/>
    </i>
    <i>
      <x v="31"/>
    </i>
    <i>
      <x v="37"/>
    </i>
    <i>
      <x v="38"/>
    </i>
    <i>
      <x v="7"/>
    </i>
    <i>
      <x v="36"/>
    </i>
    <i>
      <x v="48"/>
    </i>
    <i>
      <x v="33"/>
    </i>
    <i>
      <x v="42"/>
    </i>
    <i>
      <x v="2"/>
    </i>
    <i>
      <x v="14"/>
    </i>
    <i>
      <x v="21"/>
    </i>
    <i>
      <x v="49"/>
    </i>
    <i>
      <x v="27"/>
    </i>
    <i>
      <x v="26"/>
    </i>
    <i>
      <x v="15"/>
    </i>
    <i>
      <x v="9"/>
    </i>
    <i>
      <x v="44"/>
    </i>
    <i>
      <x v="8"/>
    </i>
    <i>
      <x v="13"/>
    </i>
    <i>
      <x v="34"/>
    </i>
    <i>
      <x v="40"/>
    </i>
    <i>
      <x v="24"/>
    </i>
    <i>
      <x v="41"/>
    </i>
    <i>
      <x v="18"/>
    </i>
    <i>
      <x v="25"/>
    </i>
    <i>
      <x v="32"/>
    </i>
    <i>
      <x v="11"/>
    </i>
    <i>
      <x v="39"/>
    </i>
    <i>
      <x v="35"/>
    </i>
    <i>
      <x/>
    </i>
    <i>
      <x v="17"/>
    </i>
    <i>
      <x v="16"/>
    </i>
    <i>
      <x v="3"/>
    </i>
    <i>
      <x v="30"/>
    </i>
    <i>
      <x v="23"/>
    </i>
    <i>
      <x v="47"/>
    </i>
    <i t="grand">
      <x/>
    </i>
  </rowItems>
  <colItems count="1">
    <i/>
  </colItems>
  <dataFields count="1">
    <dataField name="Avg. Income" fld="1" baseField="0" baseItem="0" numFmtId="164"/>
  </dataFields>
  <formats count="6">
    <format dxfId="7">
      <pivotArea outline="0" collapsedLevelsAreSubtotals="1" fieldPosition="0"/>
    </format>
    <format dxfId="6">
      <pivotArea dataOnly="0" labelOnly="1" outline="0" axis="axisValues" fieldPosition="0"/>
    </format>
    <format dxfId="5">
      <pivotArea dataOnly="0" labelOnly="1" outline="0" axis="axisValues" fieldPosition="0"/>
    </format>
    <format dxfId="4">
      <pivotArea outline="0" collapsedLevelsAreSubtotals="1" fieldPosition="0"/>
    </format>
    <format dxfId="3">
      <pivotArea dataOnly="0" labelOnly="1" outline="0" axis="axisValues" fieldPosition="0"/>
    </format>
    <format dxfId="2">
      <pivotArea dataOnly="0" labelOnly="1" outline="0" axis="axisValues" fieldPosition="0"/>
    </format>
  </formats>
  <chartFormats count="51">
    <chartFormat chart="2" format="9">
      <pivotArea type="data" outline="0" fieldPosition="0">
        <references count="2">
          <reference field="4294967294" count="1" selected="0">
            <x v="0"/>
          </reference>
          <reference field="0" count="1" selected="0">
            <x v="30"/>
          </reference>
        </references>
      </pivotArea>
    </chartFormat>
    <chartFormat chart="2" format="10">
      <pivotArea type="data" outline="0" fieldPosition="0">
        <references count="2">
          <reference field="4294967294" count="1" selected="0">
            <x v="0"/>
          </reference>
          <reference field="0" count="1" selected="0">
            <x v="3"/>
          </reference>
        </references>
      </pivotArea>
    </chartFormat>
    <chartFormat chart="2" format="11">
      <pivotArea type="data" outline="0" fieldPosition="0">
        <references count="2">
          <reference field="4294967294" count="1" selected="0">
            <x v="0"/>
          </reference>
          <reference field="0" count="1" selected="0">
            <x v="16"/>
          </reference>
        </references>
      </pivotArea>
    </chartFormat>
    <chartFormat chart="2" format="12">
      <pivotArea type="data" outline="0" fieldPosition="0">
        <references count="2">
          <reference field="4294967294" count="1" selected="0">
            <x v="0"/>
          </reference>
          <reference field="0" count="1" selected="0">
            <x v="28"/>
          </reference>
        </references>
      </pivotArea>
    </chartFormat>
    <chartFormat chart="2" format="13">
      <pivotArea type="data" outline="0" fieldPosition="0">
        <references count="2">
          <reference field="4294967294" count="1" selected="0">
            <x v="0"/>
          </reference>
          <reference field="0" count="1" selected="0">
            <x v="10"/>
          </reference>
        </references>
      </pivotArea>
    </chartFormat>
    <chartFormat chart="2" format="14">
      <pivotArea type="data" outline="0" fieldPosition="0">
        <references count="2">
          <reference field="4294967294" count="1" selected="0">
            <x v="0"/>
          </reference>
          <reference field="0" count="1" selected="0">
            <x v="46"/>
          </reference>
        </references>
      </pivotArea>
    </chartFormat>
    <chartFormat chart="2" format="15">
      <pivotArea type="data" outline="0" fieldPosition="0">
        <references count="2">
          <reference field="4294967294" count="1" selected="0">
            <x v="0"/>
          </reference>
          <reference field="0" count="1" selected="0">
            <x v="1"/>
          </reference>
        </references>
      </pivotArea>
    </chartFormat>
    <chartFormat chart="2" format="16">
      <pivotArea type="data" outline="0" fieldPosition="0">
        <references count="2">
          <reference field="4294967294" count="1" selected="0">
            <x v="0"/>
          </reference>
          <reference field="0" count="1" selected="0">
            <x v="5"/>
          </reference>
        </references>
      </pivotArea>
    </chartFormat>
    <chartFormat chart="2" format="17">
      <pivotArea type="data" outline="0" fieldPosition="0">
        <references count="2">
          <reference field="4294967294" count="1" selected="0">
            <x v="0"/>
          </reference>
          <reference field="0" count="1" selected="0">
            <x v="45"/>
          </reference>
        </references>
      </pivotArea>
    </chartFormat>
    <chartFormat chart="2" format="18">
      <pivotArea type="data" outline="0" fieldPosition="0">
        <references count="2">
          <reference field="4294967294" count="1" selected="0">
            <x v="0"/>
          </reference>
          <reference field="0" count="1" selected="0">
            <x v="43"/>
          </reference>
        </references>
      </pivotArea>
    </chartFormat>
    <chartFormat chart="2" format="19">
      <pivotArea type="data" outline="0" fieldPosition="0">
        <references count="2">
          <reference field="4294967294" count="1" selected="0">
            <x v="0"/>
          </reference>
          <reference field="0" count="1" selected="0">
            <x v="22"/>
          </reference>
        </references>
      </pivotArea>
    </chartFormat>
    <chartFormat chart="2" format="20">
      <pivotArea type="data" outline="0" fieldPosition="0">
        <references count="2">
          <reference field="4294967294" count="1" selected="0">
            <x v="0"/>
          </reference>
          <reference field="0" count="1" selected="0">
            <x v="31"/>
          </reference>
        </references>
      </pivotArea>
    </chartFormat>
    <chartFormat chart="2" format="21">
      <pivotArea type="data" outline="0" fieldPosition="0">
        <references count="2">
          <reference field="4294967294" count="1" selected="0">
            <x v="0"/>
          </reference>
          <reference field="0" count="1" selected="0">
            <x v="12"/>
          </reference>
        </references>
      </pivotArea>
    </chartFormat>
    <chartFormat chart="2" format="22">
      <pivotArea type="data" outline="0" fieldPosition="0">
        <references count="2">
          <reference field="4294967294" count="1" selected="0">
            <x v="0"/>
          </reference>
          <reference field="0" count="1" selected="0">
            <x v="37"/>
          </reference>
        </references>
      </pivotArea>
    </chartFormat>
    <chartFormat chart="2" format="23">
      <pivotArea type="data" outline="0" fieldPosition="0">
        <references count="2">
          <reference field="4294967294" count="1" selected="0">
            <x v="0"/>
          </reference>
          <reference field="0" count="1" selected="0">
            <x v="38"/>
          </reference>
        </references>
      </pivotArea>
    </chartFormat>
    <chartFormat chart="2" format="24">
      <pivotArea type="data" outline="0" fieldPosition="0">
        <references count="2">
          <reference field="4294967294" count="1" selected="0">
            <x v="0"/>
          </reference>
          <reference field="0" count="1" selected="0">
            <x v="7"/>
          </reference>
        </references>
      </pivotArea>
    </chartFormat>
    <chartFormat chart="2" format="25">
      <pivotArea type="data" outline="0" fieldPosition="0">
        <references count="2">
          <reference field="4294967294" count="1" selected="0">
            <x v="0"/>
          </reference>
          <reference field="0" count="1" selected="0">
            <x v="36"/>
          </reference>
        </references>
      </pivotArea>
    </chartFormat>
    <chartFormat chart="2" format="26">
      <pivotArea type="data" outline="0" fieldPosition="0">
        <references count="2">
          <reference field="4294967294" count="1" selected="0">
            <x v="0"/>
          </reference>
          <reference field="0" count="1" selected="0">
            <x v="48"/>
          </reference>
        </references>
      </pivotArea>
    </chartFormat>
    <chartFormat chart="2" format="27">
      <pivotArea type="data" outline="0" fieldPosition="0">
        <references count="2">
          <reference field="4294967294" count="1" selected="0">
            <x v="0"/>
          </reference>
          <reference field="0" count="1" selected="0">
            <x v="33"/>
          </reference>
        </references>
      </pivotArea>
    </chartFormat>
    <chartFormat chart="2" format="28">
      <pivotArea type="data" outline="0" fieldPosition="0">
        <references count="2">
          <reference field="4294967294" count="1" selected="0">
            <x v="0"/>
          </reference>
          <reference field="0" count="1" selected="0">
            <x v="42"/>
          </reference>
        </references>
      </pivotArea>
    </chartFormat>
    <chartFormat chart="2" format="29">
      <pivotArea type="data" outline="0" fieldPosition="0">
        <references count="2">
          <reference field="4294967294" count="1" selected="0">
            <x v="0"/>
          </reference>
          <reference field="0" count="1" selected="0">
            <x v="2"/>
          </reference>
        </references>
      </pivotArea>
    </chartFormat>
    <chartFormat chart="2" format="30">
      <pivotArea type="data" outline="0" fieldPosition="0">
        <references count="2">
          <reference field="4294967294" count="1" selected="0">
            <x v="0"/>
          </reference>
          <reference field="0" count="1" selected="0">
            <x v="14"/>
          </reference>
        </references>
      </pivotArea>
    </chartFormat>
    <chartFormat chart="2" format="31">
      <pivotArea type="data" outline="0" fieldPosition="0">
        <references count="2">
          <reference field="4294967294" count="1" selected="0">
            <x v="0"/>
          </reference>
          <reference field="0" count="1" selected="0">
            <x v="21"/>
          </reference>
        </references>
      </pivotArea>
    </chartFormat>
    <chartFormat chart="2" format="32">
      <pivotArea type="data" outline="0" fieldPosition="0">
        <references count="2">
          <reference field="4294967294" count="1" selected="0">
            <x v="0"/>
          </reference>
          <reference field="0" count="1" selected="0">
            <x v="49"/>
          </reference>
        </references>
      </pivotArea>
    </chartFormat>
    <chartFormat chart="2" format="33">
      <pivotArea type="data" outline="0" fieldPosition="0">
        <references count="2">
          <reference field="4294967294" count="1" selected="0">
            <x v="0"/>
          </reference>
          <reference field="0" count="1" selected="0">
            <x v="27"/>
          </reference>
        </references>
      </pivotArea>
    </chartFormat>
    <chartFormat chart="2" format="34">
      <pivotArea type="data" outline="0" fieldPosition="0">
        <references count="2">
          <reference field="4294967294" count="1" selected="0">
            <x v="0"/>
          </reference>
          <reference field="0" count="1" selected="0">
            <x v="26"/>
          </reference>
        </references>
      </pivotArea>
    </chartFormat>
    <chartFormat chart="2" format="35">
      <pivotArea type="data" outline="0" fieldPosition="0">
        <references count="2">
          <reference field="4294967294" count="1" selected="0">
            <x v="0"/>
          </reference>
          <reference field="0" count="1" selected="0">
            <x v="15"/>
          </reference>
        </references>
      </pivotArea>
    </chartFormat>
    <chartFormat chart="2" format="36">
      <pivotArea type="data" outline="0" fieldPosition="0">
        <references count="2">
          <reference field="4294967294" count="1" selected="0">
            <x v="0"/>
          </reference>
          <reference field="0" count="1" selected="0">
            <x v="9"/>
          </reference>
        </references>
      </pivotArea>
    </chartFormat>
    <chartFormat chart="2" format="37">
      <pivotArea type="data" outline="0" fieldPosition="0">
        <references count="2">
          <reference field="4294967294" count="1" selected="0">
            <x v="0"/>
          </reference>
          <reference field="0" count="1" selected="0">
            <x v="44"/>
          </reference>
        </references>
      </pivotArea>
    </chartFormat>
    <chartFormat chart="2" format="38">
      <pivotArea type="data" outline="0" fieldPosition="0">
        <references count="2">
          <reference field="4294967294" count="1" selected="0">
            <x v="0"/>
          </reference>
          <reference field="0" count="1" selected="0">
            <x v="8"/>
          </reference>
        </references>
      </pivotArea>
    </chartFormat>
    <chartFormat chart="2" format="39">
      <pivotArea type="data" outline="0" fieldPosition="0">
        <references count="2">
          <reference field="4294967294" count="1" selected="0">
            <x v="0"/>
          </reference>
          <reference field="0" count="1" selected="0">
            <x v="13"/>
          </reference>
        </references>
      </pivotArea>
    </chartFormat>
    <chartFormat chart="2" format="40">
      <pivotArea type="data" outline="0" fieldPosition="0">
        <references count="2">
          <reference field="4294967294" count="1" selected="0">
            <x v="0"/>
          </reference>
          <reference field="0" count="1" selected="0">
            <x v="34"/>
          </reference>
        </references>
      </pivotArea>
    </chartFormat>
    <chartFormat chart="2" format="41">
      <pivotArea type="data" outline="0" fieldPosition="0">
        <references count="2">
          <reference field="4294967294" count="1" selected="0">
            <x v="0"/>
          </reference>
          <reference field="0" count="1" selected="0">
            <x v="40"/>
          </reference>
        </references>
      </pivotArea>
    </chartFormat>
    <chartFormat chart="2" format="42">
      <pivotArea type="data" outline="0" fieldPosition="0">
        <references count="2">
          <reference field="4294967294" count="1" selected="0">
            <x v="0"/>
          </reference>
          <reference field="0" count="1" selected="0">
            <x v="24"/>
          </reference>
        </references>
      </pivotArea>
    </chartFormat>
    <chartFormat chart="2" format="43">
      <pivotArea type="data" outline="0" fieldPosition="0">
        <references count="2">
          <reference field="4294967294" count="1" selected="0">
            <x v="0"/>
          </reference>
          <reference field="0" count="1" selected="0">
            <x v="41"/>
          </reference>
        </references>
      </pivotArea>
    </chartFormat>
    <chartFormat chart="2" format="44">
      <pivotArea type="data" outline="0" fieldPosition="0">
        <references count="2">
          <reference field="4294967294" count="1" selected="0">
            <x v="0"/>
          </reference>
          <reference field="0" count="1" selected="0">
            <x v="18"/>
          </reference>
        </references>
      </pivotArea>
    </chartFormat>
    <chartFormat chart="2" format="45">
      <pivotArea type="data" outline="0" fieldPosition="0">
        <references count="2">
          <reference field="4294967294" count="1" selected="0">
            <x v="0"/>
          </reference>
          <reference field="0" count="1" selected="0">
            <x v="25"/>
          </reference>
        </references>
      </pivotArea>
    </chartFormat>
    <chartFormat chart="2" format="46">
      <pivotArea type="data" outline="0" fieldPosition="0">
        <references count="2">
          <reference field="4294967294" count="1" selected="0">
            <x v="0"/>
          </reference>
          <reference field="0" count="1" selected="0">
            <x v="32"/>
          </reference>
        </references>
      </pivotArea>
    </chartFormat>
    <chartFormat chart="2" format="47">
      <pivotArea type="data" outline="0" fieldPosition="0">
        <references count="2">
          <reference field="4294967294" count="1" selected="0">
            <x v="0"/>
          </reference>
          <reference field="0" count="1" selected="0">
            <x v="11"/>
          </reference>
        </references>
      </pivotArea>
    </chartFormat>
    <chartFormat chart="2" format="48">
      <pivotArea type="data" outline="0" fieldPosition="0">
        <references count="2">
          <reference field="4294967294" count="1" selected="0">
            <x v="0"/>
          </reference>
          <reference field="0" count="1" selected="0">
            <x v="39"/>
          </reference>
        </references>
      </pivotArea>
    </chartFormat>
    <chartFormat chart="2" format="49">
      <pivotArea type="data" outline="0" fieldPosition="0">
        <references count="2">
          <reference field="4294967294" count="1" selected="0">
            <x v="0"/>
          </reference>
          <reference field="0" count="1" selected="0">
            <x v="35"/>
          </reference>
        </references>
      </pivotArea>
    </chartFormat>
    <chartFormat chart="2" format="50">
      <pivotArea type="data" outline="0" fieldPosition="0">
        <references count="2">
          <reference field="4294967294" count="1" selected="0">
            <x v="0"/>
          </reference>
          <reference field="0" count="1" selected="0">
            <x v="0"/>
          </reference>
        </references>
      </pivotArea>
    </chartFormat>
    <chartFormat chart="2" format="51">
      <pivotArea type="data" outline="0" fieldPosition="0">
        <references count="2">
          <reference field="4294967294" count="1" selected="0">
            <x v="0"/>
          </reference>
          <reference field="0" count="1" selected="0">
            <x v="17"/>
          </reference>
        </references>
      </pivotArea>
    </chartFormat>
    <chartFormat chart="2" format="52" series="1">
      <pivotArea type="data" outline="0" fieldPosition="0">
        <references count="1">
          <reference field="4294967294" count="1" selected="0">
            <x v="0"/>
          </reference>
        </references>
      </pivotArea>
    </chartFormat>
    <chartFormat chart="2" format="53">
      <pivotArea type="data" outline="0" fieldPosition="0">
        <references count="2">
          <reference field="4294967294" count="1" selected="0">
            <x v="0"/>
          </reference>
          <reference field="0" count="1" selected="0">
            <x v="19"/>
          </reference>
        </references>
      </pivotArea>
    </chartFormat>
    <chartFormat chart="2" format="54">
      <pivotArea type="data" outline="0" fieldPosition="0">
        <references count="2">
          <reference field="4294967294" count="1" selected="0">
            <x v="0"/>
          </reference>
          <reference field="0" count="1" selected="0">
            <x v="20"/>
          </reference>
        </references>
      </pivotArea>
    </chartFormat>
    <chartFormat chart="2" format="55">
      <pivotArea type="data" outline="0" fieldPosition="0">
        <references count="2">
          <reference field="4294967294" count="1" selected="0">
            <x v="0"/>
          </reference>
          <reference field="0" count="1" selected="0">
            <x v="29"/>
          </reference>
        </references>
      </pivotArea>
    </chartFormat>
    <chartFormat chart="2" format="56">
      <pivotArea type="data" outline="0" fieldPosition="0">
        <references count="2">
          <reference field="4294967294" count="1" selected="0">
            <x v="0"/>
          </reference>
          <reference field="0" count="1" selected="0">
            <x v="4"/>
          </reference>
        </references>
      </pivotArea>
    </chartFormat>
    <chartFormat chart="2" format="57">
      <pivotArea type="data" outline="0" fieldPosition="0">
        <references count="2">
          <reference field="4294967294" count="1" selected="0">
            <x v="0"/>
          </reference>
          <reference field="0" count="1" selected="0">
            <x v="6"/>
          </reference>
        </references>
      </pivotArea>
    </chartFormat>
    <chartFormat chart="2" format="58">
      <pivotArea type="data" outline="0" fieldPosition="0">
        <references count="2">
          <reference field="4294967294" count="1" selected="0">
            <x v="0"/>
          </reference>
          <reference field="0" count="1" selected="0">
            <x v="47"/>
          </reference>
        </references>
      </pivotArea>
    </chartFormat>
    <chartFormat chart="2" format="59">
      <pivotArea type="data" outline="0" fieldPosition="0">
        <references count="2">
          <reference field="4294967294" count="1" selected="0">
            <x v="0"/>
          </reference>
          <reference field="0" count="1" selected="0">
            <x v="2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tables/table1.xml><?xml version="1.0" encoding="utf-8"?>
<table xmlns="http://schemas.openxmlformats.org/spreadsheetml/2006/main" id="2" name="Table2" displayName="Table2" ref="B2:C52" totalsRowShown="0" headerRowDxfId="1">
  <tableColumns count="2">
    <tableColumn id="1" name="Total income state"/>
    <tableColumn id="2" name="conviction_per_capita"/>
  </tableColumns>
  <tableStyleInfo showFirstColumn="0" showLastColumn="0" showRowStripes="1" showColumnStripes="0"/>
</table>
</file>

<file path=xl/tables/table2.xml><?xml version="1.0" encoding="utf-8"?>
<table xmlns="http://schemas.openxmlformats.org/spreadsheetml/2006/main" id="7" name="Table7" displayName="Table7" ref="A2:A52" totalsRowShown="0" headerRowDxfId="0">
  <autoFilter ref="A2:A52"/>
  <tableColumns count="1">
    <tableColumn id="1" name="Total income state"/>
  </tableColumns>
  <tableStyleInfo name="TableStyleMedium2" showFirstColumn="0" showLastColumn="0" showRowStripes="1" showColumnStripes="0"/>
</table>
</file>

<file path=xl/tables/table3.xml><?xml version="1.0" encoding="utf-8"?>
<table xmlns="http://schemas.openxmlformats.org/spreadsheetml/2006/main" id="1" name="Table1" displayName="Table1" ref="A1:H51" totalsRowShown="0">
  <autoFilter ref="A1:H51"/>
  <tableColumns count="8">
    <tableColumn id="1" name="state_usa"/>
    <tableColumn id="2" name="average_income"/>
    <tableColumn id="3" name="minimum_income"/>
    <tableColumn id="4" name="maximum_income"/>
    <tableColumn id="5" name="conviction_per_capita"/>
    <tableColumn id="6" name="total_income_state"/>
    <tableColumn id="7" name="percentage_income_state"/>
    <tableColumn id="8" name="percentage_convictions_stat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2"/>
  <sheetViews>
    <sheetView topLeftCell="A7" workbookViewId="0">
      <selection activeCell="O55" sqref="O55"/>
    </sheetView>
  </sheetViews>
  <sheetFormatPr defaultRowHeight="15" x14ac:dyDescent="0.25"/>
  <cols>
    <col min="1" max="1" width="15.28515625" bestFit="1" customWidth="1"/>
    <col min="2" max="2" width="22.5703125" style="5" bestFit="1" customWidth="1"/>
  </cols>
  <sheetData>
    <row r="1" spans="1:2" x14ac:dyDescent="0.25">
      <c r="A1" s="1" t="s">
        <v>61</v>
      </c>
      <c r="B1" s="5" t="s">
        <v>62</v>
      </c>
    </row>
    <row r="2" spans="1:2" x14ac:dyDescent="0.25">
      <c r="A2" s="2" t="s">
        <v>27</v>
      </c>
      <c r="B2" s="5">
        <v>89392</v>
      </c>
    </row>
    <row r="3" spans="1:2" x14ac:dyDescent="0.25">
      <c r="A3" s="2" t="s">
        <v>28</v>
      </c>
      <c r="B3" s="5">
        <v>82427</v>
      </c>
    </row>
    <row r="4" spans="1:2" x14ac:dyDescent="0.25">
      <c r="A4" s="2" t="s">
        <v>37</v>
      </c>
      <c r="B4" s="5">
        <v>81740</v>
      </c>
    </row>
    <row r="5" spans="1:2" x14ac:dyDescent="0.25">
      <c r="A5" s="2" t="s">
        <v>12</v>
      </c>
      <c r="B5" s="5">
        <v>80440</v>
      </c>
    </row>
    <row r="6" spans="1:2" x14ac:dyDescent="0.25">
      <c r="A6" s="2" t="s">
        <v>14</v>
      </c>
      <c r="B6" s="5">
        <v>79287</v>
      </c>
    </row>
    <row r="7" spans="1:2" x14ac:dyDescent="0.25">
      <c r="A7" s="2" t="s">
        <v>36</v>
      </c>
      <c r="B7" s="5">
        <v>78676</v>
      </c>
    </row>
    <row r="8" spans="1:2" x14ac:dyDescent="0.25">
      <c r="A8" s="2" t="s">
        <v>18</v>
      </c>
      <c r="B8" s="5">
        <v>78084</v>
      </c>
    </row>
    <row r="9" spans="1:2" x14ac:dyDescent="0.25">
      <c r="A9" s="2" t="s">
        <v>54</v>
      </c>
      <c r="B9" s="5">
        <v>77338</v>
      </c>
    </row>
    <row r="10" spans="1:2" x14ac:dyDescent="0.25">
      <c r="A10" s="2" t="s">
        <v>9</v>
      </c>
      <c r="B10" s="5">
        <v>76440</v>
      </c>
    </row>
    <row r="11" spans="1:2" x14ac:dyDescent="0.25">
      <c r="A11" s="2" t="s">
        <v>13</v>
      </c>
      <c r="B11" s="5">
        <v>76240</v>
      </c>
    </row>
    <row r="12" spans="1:2" x14ac:dyDescent="0.25">
      <c r="A12" s="2" t="s">
        <v>53</v>
      </c>
      <c r="B12" s="5">
        <v>75417</v>
      </c>
    </row>
    <row r="13" spans="1:2" x14ac:dyDescent="0.25">
      <c r="A13" s="2" t="s">
        <v>51</v>
      </c>
      <c r="B13" s="5">
        <v>72558</v>
      </c>
    </row>
    <row r="14" spans="1:2" x14ac:dyDescent="0.25">
      <c r="A14" s="2" t="s">
        <v>30</v>
      </c>
      <c r="B14" s="5">
        <v>72027</v>
      </c>
    </row>
    <row r="15" spans="1:2" x14ac:dyDescent="0.25">
      <c r="A15" s="2" t="s">
        <v>20</v>
      </c>
      <c r="B15" s="5">
        <v>70387</v>
      </c>
    </row>
    <row r="16" spans="1:2" x14ac:dyDescent="0.25">
      <c r="A16" s="2" t="s">
        <v>39</v>
      </c>
      <c r="B16" s="5">
        <v>70137</v>
      </c>
    </row>
    <row r="17" spans="1:2" x14ac:dyDescent="0.25">
      <c r="A17" s="2" t="s">
        <v>45</v>
      </c>
      <c r="B17" s="5">
        <v>65135</v>
      </c>
    </row>
    <row r="18" spans="1:2" x14ac:dyDescent="0.25">
      <c r="A18" s="2" t="s">
        <v>46</v>
      </c>
      <c r="B18" s="5">
        <v>64962</v>
      </c>
    </row>
    <row r="19" spans="1:2" x14ac:dyDescent="0.25">
      <c r="A19" s="2" t="s">
        <v>15</v>
      </c>
      <c r="B19" s="5">
        <v>64040</v>
      </c>
    </row>
    <row r="20" spans="1:2" x14ac:dyDescent="0.25">
      <c r="A20" s="2" t="s">
        <v>44</v>
      </c>
      <c r="B20" s="5">
        <v>63835</v>
      </c>
    </row>
    <row r="21" spans="1:2" x14ac:dyDescent="0.25">
      <c r="A21" s="2" t="s">
        <v>56</v>
      </c>
      <c r="B21" s="5">
        <v>63795</v>
      </c>
    </row>
    <row r="22" spans="1:2" x14ac:dyDescent="0.25">
      <c r="A22" s="2" t="s">
        <v>41</v>
      </c>
      <c r="B22" s="5">
        <v>63715</v>
      </c>
    </row>
    <row r="23" spans="1:2" x14ac:dyDescent="0.25">
      <c r="A23" s="2" t="s">
        <v>50</v>
      </c>
      <c r="B23" s="5">
        <v>63656</v>
      </c>
    </row>
    <row r="24" spans="1:2" x14ac:dyDescent="0.25">
      <c r="A24" s="2" t="s">
        <v>10</v>
      </c>
      <c r="B24" s="5">
        <v>62283</v>
      </c>
    </row>
    <row r="25" spans="1:2" x14ac:dyDescent="0.25">
      <c r="A25" s="2" t="s">
        <v>22</v>
      </c>
      <c r="B25" s="5">
        <v>62075</v>
      </c>
    </row>
    <row r="26" spans="1:2" x14ac:dyDescent="0.25">
      <c r="A26" s="2" t="s">
        <v>29</v>
      </c>
      <c r="B26" s="5">
        <v>61347</v>
      </c>
    </row>
    <row r="27" spans="1:2" x14ac:dyDescent="0.25">
      <c r="A27" s="2" t="s">
        <v>57</v>
      </c>
      <c r="B27" s="5">
        <v>60434</v>
      </c>
    </row>
    <row r="28" spans="1:2" x14ac:dyDescent="0.25">
      <c r="A28" s="2" t="s">
        <v>35</v>
      </c>
      <c r="B28" s="5">
        <v>60106</v>
      </c>
    </row>
    <row r="29" spans="1:2" x14ac:dyDescent="0.25">
      <c r="A29" s="2" t="s">
        <v>34</v>
      </c>
      <c r="B29" s="5">
        <v>59929</v>
      </c>
    </row>
    <row r="30" spans="1:2" x14ac:dyDescent="0.25">
      <c r="A30" s="2" t="s">
        <v>23</v>
      </c>
      <c r="B30" s="5">
        <v>59046</v>
      </c>
    </row>
    <row r="31" spans="1:2" x14ac:dyDescent="0.25">
      <c r="A31" s="2" t="s">
        <v>17</v>
      </c>
      <c r="B31" s="5">
        <v>58932</v>
      </c>
    </row>
    <row r="32" spans="1:2" x14ac:dyDescent="0.25">
      <c r="A32" s="2" t="s">
        <v>52</v>
      </c>
      <c r="B32" s="5">
        <v>58305</v>
      </c>
    </row>
    <row r="33" spans="1:2" x14ac:dyDescent="0.25">
      <c r="A33" s="2" t="s">
        <v>16</v>
      </c>
      <c r="B33" s="5">
        <v>58108</v>
      </c>
    </row>
    <row r="34" spans="1:2" x14ac:dyDescent="0.25">
      <c r="A34" s="2" t="s">
        <v>21</v>
      </c>
      <c r="B34" s="5">
        <v>57881</v>
      </c>
    </row>
    <row r="35" spans="1:2" x14ac:dyDescent="0.25">
      <c r="A35" s="2" t="s">
        <v>42</v>
      </c>
      <c r="B35" s="5">
        <v>56583</v>
      </c>
    </row>
    <row r="36" spans="1:2" x14ac:dyDescent="0.25">
      <c r="A36" s="2" t="s">
        <v>48</v>
      </c>
      <c r="B36" s="5">
        <v>56499</v>
      </c>
    </row>
    <row r="37" spans="1:2" x14ac:dyDescent="0.25">
      <c r="A37" s="2" t="s">
        <v>32</v>
      </c>
      <c r="B37" s="5">
        <v>55685</v>
      </c>
    </row>
    <row r="38" spans="1:2" x14ac:dyDescent="0.25">
      <c r="A38" s="2" t="s">
        <v>49</v>
      </c>
      <c r="B38" s="5">
        <v>55107</v>
      </c>
    </row>
    <row r="39" spans="1:2" x14ac:dyDescent="0.25">
      <c r="A39" s="2" t="s">
        <v>26</v>
      </c>
      <c r="B39" s="5">
        <v>54927</v>
      </c>
    </row>
    <row r="40" spans="1:2" x14ac:dyDescent="0.25">
      <c r="A40" s="2" t="s">
        <v>33</v>
      </c>
      <c r="B40" s="5">
        <v>54875</v>
      </c>
    </row>
    <row r="41" spans="1:2" x14ac:dyDescent="0.25">
      <c r="A41" s="2" t="s">
        <v>40</v>
      </c>
      <c r="B41" s="5">
        <v>54560</v>
      </c>
    </row>
    <row r="42" spans="1:2" x14ac:dyDescent="0.25">
      <c r="A42" s="2" t="s">
        <v>19</v>
      </c>
      <c r="B42" s="5">
        <v>53545</v>
      </c>
    </row>
    <row r="43" spans="1:2" x14ac:dyDescent="0.25">
      <c r="A43" s="2" t="s">
        <v>47</v>
      </c>
      <c r="B43" s="5">
        <v>52536</v>
      </c>
    </row>
    <row r="44" spans="1:2" x14ac:dyDescent="0.25">
      <c r="A44" s="2" t="s">
        <v>43</v>
      </c>
      <c r="B44" s="5">
        <v>51424</v>
      </c>
    </row>
    <row r="45" spans="1:2" x14ac:dyDescent="0.25">
      <c r="A45" s="2" t="s">
        <v>8</v>
      </c>
      <c r="B45" s="5">
        <v>51113</v>
      </c>
    </row>
    <row r="46" spans="1:2" x14ac:dyDescent="0.25">
      <c r="A46" s="2" t="s">
        <v>25</v>
      </c>
      <c r="B46" s="5">
        <v>50686</v>
      </c>
    </row>
    <row r="47" spans="1:2" x14ac:dyDescent="0.25">
      <c r="A47" s="2" t="s">
        <v>24</v>
      </c>
      <c r="B47" s="5">
        <v>50675</v>
      </c>
    </row>
    <row r="48" spans="1:2" x14ac:dyDescent="0.25">
      <c r="A48" s="2" t="s">
        <v>11</v>
      </c>
      <c r="B48" s="5">
        <v>48829</v>
      </c>
    </row>
    <row r="49" spans="1:2" x14ac:dyDescent="0.25">
      <c r="A49" s="2" t="s">
        <v>38</v>
      </c>
      <c r="B49" s="5">
        <v>48701</v>
      </c>
    </row>
    <row r="50" spans="1:2" x14ac:dyDescent="0.25">
      <c r="A50" s="2" t="s">
        <v>31</v>
      </c>
      <c r="B50" s="5">
        <v>47131</v>
      </c>
    </row>
    <row r="51" spans="1:2" x14ac:dyDescent="0.25">
      <c r="A51" s="2" t="s">
        <v>55</v>
      </c>
      <c r="B51" s="5">
        <v>46254</v>
      </c>
    </row>
    <row r="52" spans="1:2" x14ac:dyDescent="0.25">
      <c r="A52" s="2" t="s">
        <v>58</v>
      </c>
      <c r="B52" s="5">
        <v>3157304</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O52"/>
  <sheetViews>
    <sheetView showGridLines="0" tabSelected="1" workbookViewId="0">
      <selection activeCell="G22" sqref="G22:G23"/>
    </sheetView>
  </sheetViews>
  <sheetFormatPr defaultRowHeight="15" x14ac:dyDescent="0.25"/>
  <cols>
    <col min="1" max="2" width="19.42578125" customWidth="1"/>
    <col min="3" max="3" width="27.5703125" bestFit="1" customWidth="1"/>
    <col min="6" max="6" width="14.140625" customWidth="1"/>
  </cols>
  <sheetData>
    <row r="2" spans="1:3" x14ac:dyDescent="0.25">
      <c r="A2" s="3" t="s">
        <v>59</v>
      </c>
      <c r="B2" s="3" t="s">
        <v>59</v>
      </c>
      <c r="C2" s="3" t="s">
        <v>4</v>
      </c>
    </row>
    <row r="3" spans="1:3" x14ac:dyDescent="0.25">
      <c r="A3" t="s">
        <v>38</v>
      </c>
      <c r="B3">
        <v>150619</v>
      </c>
      <c r="C3">
        <v>2.14</v>
      </c>
    </row>
    <row r="4" spans="1:3" x14ac:dyDescent="0.25">
      <c r="A4" t="s">
        <v>31</v>
      </c>
      <c r="B4">
        <v>151556</v>
      </c>
      <c r="C4">
        <v>2.4300000000000002</v>
      </c>
    </row>
    <row r="5" spans="1:3" x14ac:dyDescent="0.25">
      <c r="A5" t="s">
        <v>55</v>
      </c>
      <c r="B5">
        <v>153680</v>
      </c>
      <c r="C5">
        <v>5.64</v>
      </c>
    </row>
    <row r="6" spans="1:3" x14ac:dyDescent="0.25">
      <c r="A6" t="s">
        <v>11</v>
      </c>
      <c r="B6">
        <v>161909</v>
      </c>
      <c r="C6">
        <v>3.02</v>
      </c>
    </row>
    <row r="7" spans="1:3" x14ac:dyDescent="0.25">
      <c r="A7" t="s">
        <v>24</v>
      </c>
      <c r="B7">
        <v>162868</v>
      </c>
      <c r="C7">
        <v>1.6</v>
      </c>
    </row>
    <row r="8" spans="1:3" x14ac:dyDescent="0.25">
      <c r="A8" t="s">
        <v>43</v>
      </c>
      <c r="B8">
        <v>164275</v>
      </c>
      <c r="C8">
        <v>3.23</v>
      </c>
    </row>
    <row r="9" spans="1:3" x14ac:dyDescent="0.25">
      <c r="A9" t="s">
        <v>25</v>
      </c>
      <c r="B9">
        <v>168368</v>
      </c>
      <c r="C9">
        <v>3.72</v>
      </c>
    </row>
    <row r="10" spans="1:3" x14ac:dyDescent="0.25">
      <c r="A10" t="s">
        <v>19</v>
      </c>
      <c r="B10">
        <v>171289</v>
      </c>
      <c r="C10">
        <v>1.1200000000000001</v>
      </c>
    </row>
    <row r="11" spans="1:3" x14ac:dyDescent="0.25">
      <c r="A11" t="s">
        <v>8</v>
      </c>
      <c r="B11">
        <v>172105</v>
      </c>
      <c r="C11">
        <v>2.15</v>
      </c>
    </row>
    <row r="12" spans="1:3" x14ac:dyDescent="0.25">
      <c r="A12" t="s">
        <v>33</v>
      </c>
      <c r="B12">
        <v>172244</v>
      </c>
      <c r="C12">
        <v>1.0900000000000001</v>
      </c>
    </row>
    <row r="13" spans="1:3" x14ac:dyDescent="0.25">
      <c r="A13" t="s">
        <v>40</v>
      </c>
      <c r="B13">
        <v>173028</v>
      </c>
      <c r="C13">
        <v>1.05</v>
      </c>
    </row>
    <row r="14" spans="1:3" x14ac:dyDescent="0.25">
      <c r="A14" t="s">
        <v>48</v>
      </c>
      <c r="B14">
        <v>173081</v>
      </c>
      <c r="C14">
        <v>0.87</v>
      </c>
    </row>
    <row r="15" spans="1:3" x14ac:dyDescent="0.25">
      <c r="A15" t="s">
        <v>47</v>
      </c>
      <c r="B15">
        <v>173375</v>
      </c>
      <c r="C15">
        <v>2.04</v>
      </c>
    </row>
    <row r="16" spans="1:3" x14ac:dyDescent="0.25">
      <c r="A16" t="s">
        <v>32</v>
      </c>
      <c r="B16">
        <v>175516</v>
      </c>
      <c r="C16">
        <v>1.5</v>
      </c>
    </row>
    <row r="17" spans="1:15" x14ac:dyDescent="0.25">
      <c r="A17" t="s">
        <v>26</v>
      </c>
      <c r="B17">
        <v>179253</v>
      </c>
      <c r="C17">
        <v>0.48</v>
      </c>
    </row>
    <row r="18" spans="1:15" x14ac:dyDescent="0.25">
      <c r="A18" t="s">
        <v>49</v>
      </c>
      <c r="B18">
        <v>179504</v>
      </c>
      <c r="C18">
        <v>3.69</v>
      </c>
    </row>
    <row r="19" spans="1:15" x14ac:dyDescent="0.25">
      <c r="A19" t="s">
        <v>42</v>
      </c>
      <c r="B19">
        <v>181021</v>
      </c>
      <c r="C19">
        <v>0.89</v>
      </c>
    </row>
    <row r="20" spans="1:15" x14ac:dyDescent="0.25">
      <c r="A20" t="s">
        <v>21</v>
      </c>
      <c r="B20">
        <v>182393</v>
      </c>
      <c r="C20">
        <v>0.9</v>
      </c>
      <c r="F20" s="19" t="s">
        <v>63</v>
      </c>
      <c r="G20" s="19"/>
      <c r="H20" s="19"/>
      <c r="I20" s="19"/>
    </row>
    <row r="21" spans="1:15" x14ac:dyDescent="0.25">
      <c r="A21" t="s">
        <v>23</v>
      </c>
      <c r="B21">
        <v>186809</v>
      </c>
      <c r="C21">
        <v>1.02</v>
      </c>
      <c r="F21" s="19"/>
      <c r="G21" s="19"/>
      <c r="H21" s="19"/>
      <c r="I21" s="19"/>
      <c r="J21" s="6"/>
      <c r="K21" s="6"/>
      <c r="L21" s="6"/>
      <c r="M21" s="6"/>
      <c r="N21" s="6"/>
    </row>
    <row r="22" spans="1:15" x14ac:dyDescent="0.25">
      <c r="A22" t="s">
        <v>34</v>
      </c>
      <c r="B22">
        <v>187447</v>
      </c>
      <c r="C22">
        <v>0.56999999999999995</v>
      </c>
      <c r="F22" s="8" t="s">
        <v>60</v>
      </c>
      <c r="G22" s="9">
        <f>CORREL(Table2[Total income state],Table2[conviction_per_capita])</f>
        <v>-0.14023275487411307</v>
      </c>
      <c r="H22" s="7"/>
      <c r="I22" s="7"/>
      <c r="J22" s="7"/>
      <c r="K22" s="7"/>
      <c r="L22" s="7"/>
      <c r="M22" s="7"/>
      <c r="N22" s="7"/>
      <c r="O22" s="4"/>
    </row>
    <row r="23" spans="1:15" x14ac:dyDescent="0.25">
      <c r="A23" t="s">
        <v>41</v>
      </c>
      <c r="B23">
        <v>190086</v>
      </c>
      <c r="C23">
        <v>0.56999999999999995</v>
      </c>
      <c r="F23" s="8"/>
      <c r="G23" s="9"/>
      <c r="H23" s="7"/>
      <c r="I23" s="7"/>
      <c r="J23" s="7"/>
      <c r="K23" s="7"/>
      <c r="L23" s="7"/>
      <c r="M23" s="7"/>
      <c r="N23" s="7"/>
      <c r="O23" s="4"/>
    </row>
    <row r="24" spans="1:15" x14ac:dyDescent="0.25">
      <c r="A24" t="s">
        <v>52</v>
      </c>
      <c r="B24">
        <v>190894</v>
      </c>
      <c r="C24">
        <v>0.44</v>
      </c>
      <c r="F24" s="7"/>
      <c r="G24" s="7"/>
      <c r="H24" s="7"/>
      <c r="I24" s="7"/>
      <c r="J24" s="7"/>
      <c r="K24" s="7"/>
      <c r="L24" s="7"/>
      <c r="M24" s="7"/>
      <c r="N24" s="7"/>
      <c r="O24" s="4"/>
    </row>
    <row r="25" spans="1:15" x14ac:dyDescent="0.25">
      <c r="A25" t="s">
        <v>16</v>
      </c>
      <c r="B25">
        <v>190945</v>
      </c>
      <c r="C25">
        <v>1.65</v>
      </c>
      <c r="F25" s="10" t="s">
        <v>64</v>
      </c>
      <c r="G25" s="11"/>
      <c r="H25" s="11"/>
      <c r="I25" s="11"/>
      <c r="J25" s="11"/>
      <c r="K25" s="11"/>
      <c r="L25" s="11"/>
      <c r="M25" s="11"/>
      <c r="N25" s="12"/>
      <c r="O25" s="4"/>
    </row>
    <row r="26" spans="1:15" x14ac:dyDescent="0.25">
      <c r="A26" t="s">
        <v>22</v>
      </c>
      <c r="B26">
        <v>192356</v>
      </c>
      <c r="C26">
        <v>0.57999999999999996</v>
      </c>
      <c r="F26" s="13"/>
      <c r="G26" s="14"/>
      <c r="H26" s="14"/>
      <c r="I26" s="14"/>
      <c r="J26" s="14"/>
      <c r="K26" s="14"/>
      <c r="L26" s="14"/>
      <c r="M26" s="14"/>
      <c r="N26" s="15"/>
      <c r="O26" s="4"/>
    </row>
    <row r="27" spans="1:15" x14ac:dyDescent="0.25">
      <c r="A27" t="s">
        <v>57</v>
      </c>
      <c r="B27">
        <v>194139</v>
      </c>
      <c r="C27">
        <v>1.03</v>
      </c>
      <c r="F27" s="13"/>
      <c r="G27" s="14"/>
      <c r="H27" s="14"/>
      <c r="I27" s="14"/>
      <c r="J27" s="14"/>
      <c r="K27" s="14"/>
      <c r="L27" s="14"/>
      <c r="M27" s="14"/>
      <c r="N27" s="15"/>
      <c r="O27" s="4"/>
    </row>
    <row r="28" spans="1:15" x14ac:dyDescent="0.25">
      <c r="A28" t="s">
        <v>17</v>
      </c>
      <c r="B28">
        <v>199150</v>
      </c>
      <c r="C28">
        <v>1.6</v>
      </c>
      <c r="F28" s="13"/>
      <c r="G28" s="14"/>
      <c r="H28" s="14"/>
      <c r="I28" s="14"/>
      <c r="J28" s="14"/>
      <c r="K28" s="14"/>
      <c r="L28" s="14"/>
      <c r="M28" s="14"/>
      <c r="N28" s="15"/>
      <c r="O28" s="4"/>
    </row>
    <row r="29" spans="1:15" x14ac:dyDescent="0.25">
      <c r="A29" t="s">
        <v>35</v>
      </c>
      <c r="B29">
        <v>199723</v>
      </c>
      <c r="C29">
        <v>1.63</v>
      </c>
      <c r="F29" s="16"/>
      <c r="G29" s="17"/>
      <c r="H29" s="17"/>
      <c r="I29" s="17"/>
      <c r="J29" s="17"/>
      <c r="K29" s="17"/>
      <c r="L29" s="17"/>
      <c r="M29" s="17"/>
      <c r="N29" s="18"/>
      <c r="O29" s="4"/>
    </row>
    <row r="30" spans="1:15" x14ac:dyDescent="0.25">
      <c r="A30" t="s">
        <v>29</v>
      </c>
      <c r="B30">
        <v>201619</v>
      </c>
      <c r="C30">
        <v>1</v>
      </c>
      <c r="F30" s="4"/>
      <c r="G30" s="4"/>
      <c r="H30" s="4"/>
      <c r="I30" s="4"/>
      <c r="J30" s="4"/>
      <c r="K30" s="4"/>
      <c r="L30" s="4"/>
      <c r="M30" s="4"/>
      <c r="N30" s="4"/>
      <c r="O30" s="4"/>
    </row>
    <row r="31" spans="1:15" x14ac:dyDescent="0.25">
      <c r="A31" t="s">
        <v>10</v>
      </c>
      <c r="B31">
        <v>205338</v>
      </c>
      <c r="C31">
        <v>1.4</v>
      </c>
      <c r="F31" s="4"/>
      <c r="G31" s="4"/>
      <c r="H31" s="4"/>
      <c r="I31" s="4"/>
      <c r="J31" s="4"/>
      <c r="K31" s="4"/>
      <c r="L31" s="4"/>
      <c r="M31" s="4"/>
      <c r="N31" s="4"/>
      <c r="O31" s="4"/>
    </row>
    <row r="32" spans="1:15" x14ac:dyDescent="0.25">
      <c r="A32" t="s">
        <v>50</v>
      </c>
      <c r="B32">
        <v>209536</v>
      </c>
      <c r="C32">
        <v>1.82</v>
      </c>
      <c r="F32" s="4"/>
      <c r="G32" s="4"/>
      <c r="H32" s="4"/>
      <c r="I32" s="4"/>
      <c r="J32" s="4"/>
      <c r="K32" s="4"/>
      <c r="L32" s="4"/>
      <c r="M32" s="4"/>
      <c r="N32" s="4"/>
      <c r="O32" s="4"/>
    </row>
    <row r="33" spans="1:15" x14ac:dyDescent="0.25">
      <c r="A33" t="s">
        <v>56</v>
      </c>
      <c r="B33">
        <v>210571</v>
      </c>
      <c r="C33">
        <v>1.0900000000000001</v>
      </c>
      <c r="F33" s="4"/>
      <c r="G33" s="4"/>
      <c r="H33" s="4"/>
      <c r="I33" s="4"/>
      <c r="J33" s="4"/>
      <c r="K33" s="4"/>
      <c r="L33" s="4"/>
      <c r="M33" s="4"/>
      <c r="N33" s="4"/>
      <c r="O33" s="4"/>
    </row>
    <row r="34" spans="1:15" x14ac:dyDescent="0.25">
      <c r="A34" t="s">
        <v>44</v>
      </c>
      <c r="B34">
        <v>214092</v>
      </c>
      <c r="C34">
        <v>1.87</v>
      </c>
      <c r="F34" s="4"/>
      <c r="G34" s="4"/>
      <c r="H34" s="4"/>
      <c r="I34" s="4"/>
      <c r="J34" s="4"/>
      <c r="K34" s="4"/>
      <c r="L34" s="4"/>
      <c r="M34" s="4"/>
      <c r="N34" s="4"/>
      <c r="O34" s="4"/>
    </row>
    <row r="35" spans="1:15" x14ac:dyDescent="0.25">
      <c r="A35" t="s">
        <v>15</v>
      </c>
      <c r="B35">
        <v>214908</v>
      </c>
      <c r="C35">
        <v>1.08</v>
      </c>
    </row>
    <row r="36" spans="1:15" x14ac:dyDescent="0.25">
      <c r="A36" t="s">
        <v>45</v>
      </c>
      <c r="B36">
        <v>215053</v>
      </c>
      <c r="C36">
        <v>1.25</v>
      </c>
    </row>
    <row r="37" spans="1:15" x14ac:dyDescent="0.25">
      <c r="A37" t="s">
        <v>46</v>
      </c>
      <c r="B37">
        <v>224328</v>
      </c>
      <c r="C37">
        <v>8.35</v>
      </c>
    </row>
    <row r="38" spans="1:15" x14ac:dyDescent="0.25">
      <c r="A38" t="s">
        <v>20</v>
      </c>
      <c r="B38">
        <v>229483</v>
      </c>
      <c r="C38">
        <v>1.27</v>
      </c>
    </row>
    <row r="39" spans="1:15" x14ac:dyDescent="0.25">
      <c r="A39" t="s">
        <v>30</v>
      </c>
      <c r="B39">
        <v>230518</v>
      </c>
      <c r="C39">
        <v>0.68</v>
      </c>
    </row>
    <row r="40" spans="1:15" x14ac:dyDescent="0.25">
      <c r="A40" t="s">
        <v>39</v>
      </c>
      <c r="B40">
        <v>232027</v>
      </c>
      <c r="C40">
        <v>1.59</v>
      </c>
    </row>
    <row r="41" spans="1:15" x14ac:dyDescent="0.25">
      <c r="A41" t="s">
        <v>51</v>
      </c>
      <c r="B41">
        <v>236451</v>
      </c>
      <c r="C41">
        <v>1.1299999999999999</v>
      </c>
    </row>
    <row r="42" spans="1:15" x14ac:dyDescent="0.25">
      <c r="A42" t="s">
        <v>13</v>
      </c>
      <c r="B42">
        <v>242590</v>
      </c>
      <c r="C42">
        <v>0.8</v>
      </c>
    </row>
    <row r="43" spans="1:15" x14ac:dyDescent="0.25">
      <c r="A43" t="s">
        <v>18</v>
      </c>
      <c r="B43">
        <v>245370</v>
      </c>
      <c r="C43">
        <v>0.43</v>
      </c>
    </row>
    <row r="44" spans="1:15" x14ac:dyDescent="0.25">
      <c r="A44" t="s">
        <v>9</v>
      </c>
      <c r="B44">
        <v>245977</v>
      </c>
      <c r="C44">
        <v>1.06</v>
      </c>
    </row>
    <row r="45" spans="1:15" x14ac:dyDescent="0.25">
      <c r="A45" t="s">
        <v>36</v>
      </c>
      <c r="B45">
        <v>255322</v>
      </c>
      <c r="C45">
        <v>0.51</v>
      </c>
    </row>
    <row r="46" spans="1:15" x14ac:dyDescent="0.25">
      <c r="A46" t="s">
        <v>54</v>
      </c>
      <c r="B46">
        <v>256413</v>
      </c>
      <c r="C46">
        <v>2.5299999999999998</v>
      </c>
    </row>
    <row r="47" spans="1:15" x14ac:dyDescent="0.25">
      <c r="A47" t="s">
        <v>14</v>
      </c>
      <c r="B47">
        <v>259309</v>
      </c>
      <c r="C47">
        <v>2.0099999999999998</v>
      </c>
    </row>
    <row r="48" spans="1:15" x14ac:dyDescent="0.25">
      <c r="A48" t="s">
        <v>53</v>
      </c>
      <c r="B48">
        <v>261893</v>
      </c>
      <c r="C48">
        <v>1.57</v>
      </c>
    </row>
    <row r="49" spans="1:3" x14ac:dyDescent="0.25">
      <c r="A49" t="s">
        <v>28</v>
      </c>
      <c r="B49">
        <v>266367</v>
      </c>
      <c r="C49">
        <v>2.27</v>
      </c>
    </row>
    <row r="50" spans="1:3" x14ac:dyDescent="0.25">
      <c r="A50" t="s">
        <v>12</v>
      </c>
      <c r="B50">
        <v>267403</v>
      </c>
      <c r="C50">
        <v>1.0900000000000001</v>
      </c>
    </row>
    <row r="51" spans="1:3" x14ac:dyDescent="0.25">
      <c r="A51" t="s">
        <v>37</v>
      </c>
      <c r="B51">
        <v>282737</v>
      </c>
      <c r="C51">
        <v>1.9</v>
      </c>
    </row>
    <row r="52" spans="1:3" x14ac:dyDescent="0.25">
      <c r="A52" t="s">
        <v>27</v>
      </c>
      <c r="B52">
        <v>299270</v>
      </c>
      <c r="C52">
        <v>1.38</v>
      </c>
    </row>
  </sheetData>
  <mergeCells count="4">
    <mergeCell ref="F22:F23"/>
    <mergeCell ref="G22:G23"/>
    <mergeCell ref="F25:N29"/>
    <mergeCell ref="F20:I21"/>
  </mergeCells>
  <pageMargins left="0.7" right="0.7" top="0.75" bottom="0.75" header="0.3" footer="0.3"/>
  <pageSetup orientation="portrait" r:id="rId1"/>
  <drawing r:id="rId2"/>
  <tableParts count="2">
    <tablePart r:id="rId3"/>
    <tablePart r:id="rId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1"/>
  <sheetViews>
    <sheetView workbookViewId="0">
      <selection activeCell="M27" sqref="M27"/>
    </sheetView>
  </sheetViews>
  <sheetFormatPr defaultRowHeight="15" x14ac:dyDescent="0.25"/>
  <cols>
    <col min="1" max="1" width="11.5703125" customWidth="1"/>
    <col min="2" max="2" width="17.7109375" customWidth="1"/>
    <col min="3" max="3" width="19.28515625" customWidth="1"/>
    <col min="4" max="4" width="19.5703125" customWidth="1"/>
    <col min="5" max="5" width="22.5703125" customWidth="1"/>
    <col min="6" max="6" width="20.28515625" customWidth="1"/>
    <col min="7" max="7" width="26.140625" customWidth="1"/>
    <col min="8" max="8" width="29.5703125" customWidth="1"/>
  </cols>
  <sheetData>
    <row r="1" spans="1:8" x14ac:dyDescent="0.25">
      <c r="A1" t="s">
        <v>0</v>
      </c>
      <c r="B1" t="s">
        <v>1</v>
      </c>
      <c r="C1" t="s">
        <v>2</v>
      </c>
      <c r="D1" t="s">
        <v>3</v>
      </c>
      <c r="E1" t="s">
        <v>4</v>
      </c>
      <c r="F1" t="s">
        <v>5</v>
      </c>
      <c r="G1" t="s">
        <v>6</v>
      </c>
      <c r="H1" t="s">
        <v>7</v>
      </c>
    </row>
    <row r="2" spans="1:8" x14ac:dyDescent="0.25">
      <c r="A2" t="s">
        <v>8</v>
      </c>
      <c r="B2">
        <v>51113</v>
      </c>
      <c r="C2">
        <v>23999</v>
      </c>
      <c r="D2">
        <v>96993</v>
      </c>
      <c r="E2">
        <v>2.15</v>
      </c>
      <c r="F2">
        <v>172105</v>
      </c>
      <c r="G2">
        <v>1.67</v>
      </c>
      <c r="H2">
        <v>2.5375000000000001</v>
      </c>
    </row>
    <row r="3" spans="1:8" x14ac:dyDescent="0.25">
      <c r="A3" t="s">
        <v>9</v>
      </c>
      <c r="B3">
        <v>76440</v>
      </c>
      <c r="C3">
        <v>35219</v>
      </c>
      <c r="D3">
        <v>134318</v>
      </c>
      <c r="E3">
        <v>1.06</v>
      </c>
      <c r="F3">
        <v>245977</v>
      </c>
      <c r="G3">
        <v>2.39</v>
      </c>
      <c r="H3">
        <v>1.2509999999999999</v>
      </c>
    </row>
    <row r="4" spans="1:8" x14ac:dyDescent="0.25">
      <c r="A4" t="s">
        <v>10</v>
      </c>
      <c r="B4">
        <v>62283</v>
      </c>
      <c r="C4">
        <v>29466</v>
      </c>
      <c r="D4">
        <v>113589</v>
      </c>
      <c r="E4">
        <v>1.4</v>
      </c>
      <c r="F4">
        <v>205338</v>
      </c>
      <c r="G4">
        <v>2</v>
      </c>
      <c r="H4">
        <v>1.6523000000000001</v>
      </c>
    </row>
    <row r="5" spans="1:8" x14ac:dyDescent="0.25">
      <c r="A5" t="s">
        <v>11</v>
      </c>
      <c r="B5">
        <v>48829</v>
      </c>
      <c r="C5">
        <v>23028</v>
      </c>
      <c r="D5">
        <v>90052</v>
      </c>
      <c r="E5">
        <v>3.02</v>
      </c>
      <c r="F5">
        <v>161909</v>
      </c>
      <c r="G5">
        <v>1.57</v>
      </c>
      <c r="H5">
        <v>3.5642999999999998</v>
      </c>
    </row>
    <row r="6" spans="1:8" x14ac:dyDescent="0.25">
      <c r="A6" t="s">
        <v>12</v>
      </c>
      <c r="B6">
        <v>80440</v>
      </c>
      <c r="C6">
        <v>37698</v>
      </c>
      <c r="D6">
        <v>149265</v>
      </c>
      <c r="E6">
        <v>1.0900000000000001</v>
      </c>
      <c r="F6">
        <v>267403</v>
      </c>
      <c r="G6">
        <v>2.6</v>
      </c>
      <c r="H6">
        <v>1.2864</v>
      </c>
    </row>
    <row r="7" spans="1:8" x14ac:dyDescent="0.25">
      <c r="A7" t="s">
        <v>13</v>
      </c>
      <c r="B7">
        <v>76240</v>
      </c>
      <c r="C7">
        <v>35636</v>
      </c>
      <c r="D7">
        <v>130714</v>
      </c>
      <c r="E7">
        <v>0.8</v>
      </c>
      <c r="F7">
        <v>242590</v>
      </c>
      <c r="G7">
        <v>2.36</v>
      </c>
      <c r="H7">
        <v>0.94420000000000004</v>
      </c>
    </row>
    <row r="8" spans="1:8" x14ac:dyDescent="0.25">
      <c r="A8" t="s">
        <v>14</v>
      </c>
      <c r="B8">
        <v>79287</v>
      </c>
      <c r="C8">
        <v>37426</v>
      </c>
      <c r="D8">
        <v>142596</v>
      </c>
      <c r="E8">
        <v>2.0099999999999998</v>
      </c>
      <c r="F8">
        <v>259309</v>
      </c>
      <c r="G8">
        <v>2.52</v>
      </c>
      <c r="H8">
        <v>2.3721999999999999</v>
      </c>
    </row>
    <row r="9" spans="1:8" x14ac:dyDescent="0.25">
      <c r="A9" t="s">
        <v>15</v>
      </c>
      <c r="B9">
        <v>64040</v>
      </c>
      <c r="C9">
        <v>30544</v>
      </c>
      <c r="D9">
        <v>120324</v>
      </c>
      <c r="E9">
        <v>1.08</v>
      </c>
      <c r="F9">
        <v>214908</v>
      </c>
      <c r="G9">
        <v>2.09</v>
      </c>
      <c r="H9">
        <v>1.2746</v>
      </c>
    </row>
    <row r="10" spans="1:8" x14ac:dyDescent="0.25">
      <c r="A10" t="s">
        <v>16</v>
      </c>
      <c r="B10">
        <v>58108</v>
      </c>
      <c r="C10">
        <v>27064</v>
      </c>
      <c r="D10">
        <v>105773</v>
      </c>
      <c r="E10">
        <v>1.65</v>
      </c>
      <c r="F10">
        <v>190945</v>
      </c>
      <c r="G10">
        <v>1.86</v>
      </c>
      <c r="H10">
        <v>1.9474</v>
      </c>
    </row>
    <row r="11" spans="1:8" x14ac:dyDescent="0.25">
      <c r="A11" t="s">
        <v>17</v>
      </c>
      <c r="B11">
        <v>58932</v>
      </c>
      <c r="C11">
        <v>27609</v>
      </c>
      <c r="D11">
        <v>112609</v>
      </c>
      <c r="E11">
        <v>1.6</v>
      </c>
      <c r="F11">
        <v>199150</v>
      </c>
      <c r="G11">
        <v>1.94</v>
      </c>
      <c r="H11">
        <v>1.8884000000000001</v>
      </c>
    </row>
    <row r="12" spans="1:8" x14ac:dyDescent="0.25">
      <c r="A12" t="s">
        <v>18</v>
      </c>
      <c r="B12">
        <v>78084</v>
      </c>
      <c r="C12">
        <v>36987</v>
      </c>
      <c r="D12">
        <v>130299</v>
      </c>
      <c r="E12">
        <v>0.43</v>
      </c>
      <c r="F12">
        <v>245370</v>
      </c>
      <c r="G12">
        <v>2.39</v>
      </c>
      <c r="H12">
        <v>0.50749999999999995</v>
      </c>
    </row>
    <row r="13" spans="1:8" x14ac:dyDescent="0.25">
      <c r="A13" t="s">
        <v>19</v>
      </c>
      <c r="B13">
        <v>53545</v>
      </c>
      <c r="C13">
        <v>25119</v>
      </c>
      <c r="D13">
        <v>92625</v>
      </c>
      <c r="E13">
        <v>1.1200000000000001</v>
      </c>
      <c r="F13">
        <v>171289</v>
      </c>
      <c r="G13">
        <v>1.67</v>
      </c>
      <c r="H13">
        <v>1.3218000000000001</v>
      </c>
    </row>
    <row r="14" spans="1:8" x14ac:dyDescent="0.25">
      <c r="A14" t="s">
        <v>20</v>
      </c>
      <c r="B14">
        <v>70387</v>
      </c>
      <c r="C14">
        <v>32737</v>
      </c>
      <c r="D14">
        <v>126359</v>
      </c>
      <c r="E14">
        <v>1.27</v>
      </c>
      <c r="F14">
        <v>229483</v>
      </c>
      <c r="G14">
        <v>2.23</v>
      </c>
      <c r="H14">
        <v>1.4988999999999999</v>
      </c>
    </row>
    <row r="15" spans="1:8" x14ac:dyDescent="0.25">
      <c r="A15" t="s">
        <v>21</v>
      </c>
      <c r="B15">
        <v>57881</v>
      </c>
      <c r="C15">
        <v>27050</v>
      </c>
      <c r="D15">
        <v>97462</v>
      </c>
      <c r="E15">
        <v>0.9</v>
      </c>
      <c r="F15">
        <v>182393</v>
      </c>
      <c r="G15">
        <v>1.77</v>
      </c>
      <c r="H15">
        <v>1.0622</v>
      </c>
    </row>
    <row r="16" spans="1:8" x14ac:dyDescent="0.25">
      <c r="A16" t="s">
        <v>22</v>
      </c>
      <c r="B16">
        <v>62075</v>
      </c>
      <c r="C16">
        <v>28709</v>
      </c>
      <c r="D16">
        <v>101572</v>
      </c>
      <c r="E16">
        <v>0.57999999999999996</v>
      </c>
      <c r="F16">
        <v>192356</v>
      </c>
      <c r="G16">
        <v>1.87</v>
      </c>
      <c r="H16">
        <v>0.6845</v>
      </c>
    </row>
    <row r="17" spans="1:8" x14ac:dyDescent="0.25">
      <c r="A17" t="s">
        <v>23</v>
      </c>
      <c r="B17">
        <v>59046</v>
      </c>
      <c r="C17">
        <v>27487</v>
      </c>
      <c r="D17">
        <v>100276</v>
      </c>
      <c r="E17">
        <v>1.02</v>
      </c>
      <c r="F17">
        <v>186809</v>
      </c>
      <c r="G17">
        <v>1.82</v>
      </c>
      <c r="H17">
        <v>1.2038</v>
      </c>
    </row>
    <row r="18" spans="1:8" x14ac:dyDescent="0.25">
      <c r="A18" t="s">
        <v>24</v>
      </c>
      <c r="B18">
        <v>50675</v>
      </c>
      <c r="C18">
        <v>23915</v>
      </c>
      <c r="D18">
        <v>88278</v>
      </c>
      <c r="E18">
        <v>1.6</v>
      </c>
      <c r="F18">
        <v>162868</v>
      </c>
      <c r="G18">
        <v>1.58</v>
      </c>
      <c r="H18">
        <v>1.8884000000000001</v>
      </c>
    </row>
    <row r="19" spans="1:8" x14ac:dyDescent="0.25">
      <c r="A19" t="s">
        <v>25</v>
      </c>
      <c r="B19">
        <v>50686</v>
      </c>
      <c r="C19">
        <v>23855</v>
      </c>
      <c r="D19">
        <v>93827</v>
      </c>
      <c r="E19">
        <v>3.72</v>
      </c>
      <c r="F19">
        <v>168368</v>
      </c>
      <c r="G19">
        <v>1.64</v>
      </c>
      <c r="H19">
        <v>4.3903999999999996</v>
      </c>
    </row>
    <row r="20" spans="1:8" x14ac:dyDescent="0.25">
      <c r="A20" t="s">
        <v>26</v>
      </c>
      <c r="B20">
        <v>54927</v>
      </c>
      <c r="C20">
        <v>25964</v>
      </c>
      <c r="D20">
        <v>98362</v>
      </c>
      <c r="E20">
        <v>0.48</v>
      </c>
      <c r="F20">
        <v>179253</v>
      </c>
      <c r="G20">
        <v>1.74</v>
      </c>
      <c r="H20">
        <v>0.5665</v>
      </c>
    </row>
    <row r="21" spans="1:8" x14ac:dyDescent="0.25">
      <c r="A21" t="s">
        <v>27</v>
      </c>
      <c r="B21">
        <v>89392</v>
      </c>
      <c r="C21">
        <v>42343</v>
      </c>
      <c r="D21">
        <v>167535</v>
      </c>
      <c r="E21">
        <v>1.38</v>
      </c>
      <c r="F21">
        <v>299270</v>
      </c>
      <c r="G21">
        <v>2.91</v>
      </c>
      <c r="H21">
        <v>1.6287</v>
      </c>
    </row>
    <row r="22" spans="1:8" x14ac:dyDescent="0.25">
      <c r="A22" t="s">
        <v>28</v>
      </c>
      <c r="B22">
        <v>82427</v>
      </c>
      <c r="C22">
        <v>38980</v>
      </c>
      <c r="D22">
        <v>144960</v>
      </c>
      <c r="E22">
        <v>2.27</v>
      </c>
      <c r="F22">
        <v>266367</v>
      </c>
      <c r="G22">
        <v>2.59</v>
      </c>
      <c r="H22">
        <v>2.6791</v>
      </c>
    </row>
    <row r="23" spans="1:8" x14ac:dyDescent="0.25">
      <c r="A23" t="s">
        <v>29</v>
      </c>
      <c r="B23">
        <v>61347</v>
      </c>
      <c r="C23">
        <v>28357</v>
      </c>
      <c r="D23">
        <v>111915</v>
      </c>
      <c r="E23">
        <v>1</v>
      </c>
      <c r="F23">
        <v>201619</v>
      </c>
      <c r="G23">
        <v>1.96</v>
      </c>
      <c r="H23">
        <v>1.1801999999999999</v>
      </c>
    </row>
    <row r="24" spans="1:8" x14ac:dyDescent="0.25">
      <c r="A24" t="s">
        <v>30</v>
      </c>
      <c r="B24">
        <v>72027</v>
      </c>
      <c r="C24">
        <v>33578</v>
      </c>
      <c r="D24">
        <v>124913</v>
      </c>
      <c r="E24">
        <v>0.68</v>
      </c>
      <c r="F24">
        <v>230518</v>
      </c>
      <c r="G24">
        <v>2.2400000000000002</v>
      </c>
      <c r="H24">
        <v>0.80249999999999999</v>
      </c>
    </row>
    <row r="25" spans="1:8" x14ac:dyDescent="0.25">
      <c r="A25" t="s">
        <v>31</v>
      </c>
      <c r="B25">
        <v>47131</v>
      </c>
      <c r="C25">
        <v>22732</v>
      </c>
      <c r="D25">
        <v>81693</v>
      </c>
      <c r="E25">
        <v>2.4300000000000002</v>
      </c>
      <c r="F25">
        <v>151556</v>
      </c>
      <c r="G25">
        <v>1.47</v>
      </c>
      <c r="H25">
        <v>2.8679000000000001</v>
      </c>
    </row>
    <row r="26" spans="1:8" x14ac:dyDescent="0.25">
      <c r="A26" t="s">
        <v>32</v>
      </c>
      <c r="B26">
        <v>55685</v>
      </c>
      <c r="C26">
        <v>26550</v>
      </c>
      <c r="D26">
        <v>93281</v>
      </c>
      <c r="E26">
        <v>1.5</v>
      </c>
      <c r="F26">
        <v>175516</v>
      </c>
      <c r="G26">
        <v>1.71</v>
      </c>
      <c r="H26">
        <v>1.7703</v>
      </c>
    </row>
    <row r="27" spans="1:8" x14ac:dyDescent="0.25">
      <c r="A27" t="s">
        <v>33</v>
      </c>
      <c r="B27">
        <v>54875</v>
      </c>
      <c r="C27">
        <v>25507</v>
      </c>
      <c r="D27">
        <v>91862</v>
      </c>
      <c r="E27">
        <v>1.0900000000000001</v>
      </c>
      <c r="F27">
        <v>172244</v>
      </c>
      <c r="G27">
        <v>1.67</v>
      </c>
      <c r="H27">
        <v>1.2864</v>
      </c>
    </row>
    <row r="28" spans="1:8" x14ac:dyDescent="0.25">
      <c r="A28" t="s">
        <v>34</v>
      </c>
      <c r="B28">
        <v>59929</v>
      </c>
      <c r="C28">
        <v>27458</v>
      </c>
      <c r="D28">
        <v>100060</v>
      </c>
      <c r="E28">
        <v>0.56999999999999995</v>
      </c>
      <c r="F28">
        <v>187447</v>
      </c>
      <c r="G28">
        <v>1.82</v>
      </c>
      <c r="H28">
        <v>0.67269999999999996</v>
      </c>
    </row>
    <row r="29" spans="1:8" x14ac:dyDescent="0.25">
      <c r="A29" t="s">
        <v>35</v>
      </c>
      <c r="B29">
        <v>60106</v>
      </c>
      <c r="C29">
        <v>26809</v>
      </c>
      <c r="D29">
        <v>112808</v>
      </c>
      <c r="E29">
        <v>1.63</v>
      </c>
      <c r="F29">
        <v>199723</v>
      </c>
      <c r="G29">
        <v>1.94</v>
      </c>
      <c r="H29">
        <v>1.9238</v>
      </c>
    </row>
    <row r="30" spans="1:8" x14ac:dyDescent="0.25">
      <c r="A30" t="s">
        <v>36</v>
      </c>
      <c r="B30">
        <v>78676</v>
      </c>
      <c r="C30">
        <v>38121</v>
      </c>
      <c r="D30">
        <v>138525</v>
      </c>
      <c r="E30">
        <v>0.51</v>
      </c>
      <c r="F30">
        <v>255322</v>
      </c>
      <c r="G30">
        <v>2.48</v>
      </c>
      <c r="H30">
        <v>0.60189999999999999</v>
      </c>
    </row>
    <row r="31" spans="1:8" x14ac:dyDescent="0.25">
      <c r="A31" t="s">
        <v>37</v>
      </c>
      <c r="B31">
        <v>81740</v>
      </c>
      <c r="C31">
        <v>39625</v>
      </c>
      <c r="D31">
        <v>161372</v>
      </c>
      <c r="E31">
        <v>1.9</v>
      </c>
      <c r="F31">
        <v>282737</v>
      </c>
      <c r="G31">
        <v>2.75</v>
      </c>
      <c r="H31">
        <v>2.2423999999999999</v>
      </c>
    </row>
    <row r="32" spans="1:8" x14ac:dyDescent="0.25">
      <c r="A32" t="s">
        <v>38</v>
      </c>
      <c r="B32">
        <v>48701</v>
      </c>
      <c r="C32">
        <v>23313</v>
      </c>
      <c r="D32">
        <v>78605</v>
      </c>
      <c r="E32">
        <v>2.14</v>
      </c>
      <c r="F32">
        <v>150619</v>
      </c>
      <c r="G32">
        <v>1.46</v>
      </c>
      <c r="H32">
        <v>2.5257000000000001</v>
      </c>
    </row>
    <row r="33" spans="1:8" x14ac:dyDescent="0.25">
      <c r="A33" t="s">
        <v>39</v>
      </c>
      <c r="B33">
        <v>70137</v>
      </c>
      <c r="C33">
        <v>33332</v>
      </c>
      <c r="D33">
        <v>128558</v>
      </c>
      <c r="E33">
        <v>1.59</v>
      </c>
      <c r="F33">
        <v>232027</v>
      </c>
      <c r="G33">
        <v>2.2599999999999998</v>
      </c>
      <c r="H33">
        <v>1.8765000000000001</v>
      </c>
    </row>
    <row r="34" spans="1:8" x14ac:dyDescent="0.25">
      <c r="A34" t="s">
        <v>40</v>
      </c>
      <c r="B34">
        <v>54560</v>
      </c>
      <c r="C34">
        <v>26202</v>
      </c>
      <c r="D34">
        <v>92266</v>
      </c>
      <c r="E34">
        <v>1.05</v>
      </c>
      <c r="F34">
        <v>173028</v>
      </c>
      <c r="G34">
        <v>1.68</v>
      </c>
      <c r="H34">
        <v>1.2392000000000001</v>
      </c>
    </row>
    <row r="35" spans="1:8" x14ac:dyDescent="0.25">
      <c r="A35" t="s">
        <v>41</v>
      </c>
      <c r="B35">
        <v>63715</v>
      </c>
      <c r="C35">
        <v>30750</v>
      </c>
      <c r="D35">
        <v>95621</v>
      </c>
      <c r="E35">
        <v>0.56999999999999995</v>
      </c>
      <c r="F35">
        <v>190086</v>
      </c>
      <c r="G35">
        <v>1.85</v>
      </c>
      <c r="H35">
        <v>0.67269999999999996</v>
      </c>
    </row>
    <row r="36" spans="1:8" x14ac:dyDescent="0.25">
      <c r="A36" t="s">
        <v>42</v>
      </c>
      <c r="B36">
        <v>56583</v>
      </c>
      <c r="C36">
        <v>27214</v>
      </c>
      <c r="D36">
        <v>97224</v>
      </c>
      <c r="E36">
        <v>0.89</v>
      </c>
      <c r="F36">
        <v>181021</v>
      </c>
      <c r="G36">
        <v>1.76</v>
      </c>
      <c r="H36">
        <v>1.0504</v>
      </c>
    </row>
    <row r="37" spans="1:8" x14ac:dyDescent="0.25">
      <c r="A37" t="s">
        <v>43</v>
      </c>
      <c r="B37">
        <v>51424</v>
      </c>
      <c r="C37">
        <v>25018</v>
      </c>
      <c r="D37">
        <v>87833</v>
      </c>
      <c r="E37">
        <v>3.23</v>
      </c>
      <c r="F37">
        <v>164275</v>
      </c>
      <c r="G37">
        <v>1.6</v>
      </c>
      <c r="H37">
        <v>3.8121</v>
      </c>
    </row>
    <row r="38" spans="1:8" x14ac:dyDescent="0.25">
      <c r="A38" t="s">
        <v>44</v>
      </c>
      <c r="B38">
        <v>63835</v>
      </c>
      <c r="C38">
        <v>29709</v>
      </c>
      <c r="D38">
        <v>120548</v>
      </c>
      <c r="E38">
        <v>1.87</v>
      </c>
      <c r="F38">
        <v>214092</v>
      </c>
      <c r="G38">
        <v>2.08</v>
      </c>
      <c r="H38">
        <v>2.2069999999999999</v>
      </c>
    </row>
    <row r="39" spans="1:8" x14ac:dyDescent="0.25">
      <c r="A39" t="s">
        <v>45</v>
      </c>
      <c r="B39">
        <v>65135</v>
      </c>
      <c r="C39">
        <v>30524</v>
      </c>
      <c r="D39">
        <v>119394</v>
      </c>
      <c r="E39">
        <v>1.25</v>
      </c>
      <c r="F39">
        <v>215053</v>
      </c>
      <c r="G39">
        <v>2.09</v>
      </c>
      <c r="H39">
        <v>1.4753000000000001</v>
      </c>
    </row>
    <row r="40" spans="1:8" x14ac:dyDescent="0.25">
      <c r="A40" t="s">
        <v>46</v>
      </c>
      <c r="B40">
        <v>64962</v>
      </c>
      <c r="C40">
        <v>30811</v>
      </c>
      <c r="D40">
        <v>128555</v>
      </c>
      <c r="E40">
        <v>8.35</v>
      </c>
      <c r="F40">
        <v>224328</v>
      </c>
      <c r="G40">
        <v>2.1800000000000002</v>
      </c>
      <c r="H40">
        <v>9.8547999999999991</v>
      </c>
    </row>
    <row r="41" spans="1:8" x14ac:dyDescent="0.25">
      <c r="A41" t="s">
        <v>47</v>
      </c>
      <c r="B41">
        <v>52536</v>
      </c>
      <c r="C41">
        <v>24334</v>
      </c>
      <c r="D41">
        <v>96505</v>
      </c>
      <c r="E41">
        <v>2.04</v>
      </c>
      <c r="F41">
        <v>173375</v>
      </c>
      <c r="G41">
        <v>1.69</v>
      </c>
      <c r="H41">
        <v>2.4076</v>
      </c>
    </row>
    <row r="42" spans="1:8" x14ac:dyDescent="0.25">
      <c r="A42" t="s">
        <v>48</v>
      </c>
      <c r="B42">
        <v>56499</v>
      </c>
      <c r="C42">
        <v>26356</v>
      </c>
      <c r="D42">
        <v>90226</v>
      </c>
      <c r="E42">
        <v>0.87</v>
      </c>
      <c r="F42">
        <v>173081</v>
      </c>
      <c r="G42">
        <v>1.68</v>
      </c>
      <c r="H42">
        <v>1.0267999999999999</v>
      </c>
    </row>
    <row r="43" spans="1:8" x14ac:dyDescent="0.25">
      <c r="A43" t="s">
        <v>49</v>
      </c>
      <c r="B43">
        <v>55107</v>
      </c>
      <c r="C43">
        <v>25885</v>
      </c>
      <c r="D43">
        <v>98512</v>
      </c>
      <c r="E43">
        <v>3.69</v>
      </c>
      <c r="F43">
        <v>179504</v>
      </c>
      <c r="G43">
        <v>1.75</v>
      </c>
      <c r="H43">
        <v>4.3550000000000004</v>
      </c>
    </row>
    <row r="44" spans="1:8" x14ac:dyDescent="0.25">
      <c r="A44" t="s">
        <v>50</v>
      </c>
      <c r="B44">
        <v>63656</v>
      </c>
      <c r="C44">
        <v>29537</v>
      </c>
      <c r="D44">
        <v>116343</v>
      </c>
      <c r="E44">
        <v>1.82</v>
      </c>
      <c r="F44">
        <v>209536</v>
      </c>
      <c r="G44">
        <v>2.04</v>
      </c>
      <c r="H44">
        <v>2.1480000000000001</v>
      </c>
    </row>
    <row r="45" spans="1:8" x14ac:dyDescent="0.25">
      <c r="A45" t="s">
        <v>51</v>
      </c>
      <c r="B45">
        <v>72558</v>
      </c>
      <c r="C45">
        <v>33432</v>
      </c>
      <c r="D45">
        <v>130461</v>
      </c>
      <c r="E45">
        <v>1.1299999999999999</v>
      </c>
      <c r="F45">
        <v>236451</v>
      </c>
      <c r="G45">
        <v>2.2999999999999998</v>
      </c>
      <c r="H45">
        <v>1.3335999999999999</v>
      </c>
    </row>
    <row r="46" spans="1:8" x14ac:dyDescent="0.25">
      <c r="A46" t="s">
        <v>52</v>
      </c>
      <c r="B46">
        <v>58305</v>
      </c>
      <c r="C46">
        <v>27663</v>
      </c>
      <c r="D46">
        <v>104926</v>
      </c>
      <c r="E46">
        <v>0.44</v>
      </c>
      <c r="F46">
        <v>190894</v>
      </c>
      <c r="G46">
        <v>1.86</v>
      </c>
      <c r="H46">
        <v>0.51929999999999998</v>
      </c>
    </row>
    <row r="47" spans="1:8" x14ac:dyDescent="0.25">
      <c r="A47" t="s">
        <v>53</v>
      </c>
      <c r="B47">
        <v>75417</v>
      </c>
      <c r="C47">
        <v>34723</v>
      </c>
      <c r="D47">
        <v>151753</v>
      </c>
      <c r="E47">
        <v>1.57</v>
      </c>
      <c r="F47">
        <v>261893</v>
      </c>
      <c r="G47">
        <v>2.5499999999999998</v>
      </c>
      <c r="H47">
        <v>1.8529</v>
      </c>
    </row>
    <row r="48" spans="1:8" x14ac:dyDescent="0.25">
      <c r="A48" t="s">
        <v>54</v>
      </c>
      <c r="B48">
        <v>77338</v>
      </c>
      <c r="C48">
        <v>36118</v>
      </c>
      <c r="D48">
        <v>142957</v>
      </c>
      <c r="E48">
        <v>2.5299999999999998</v>
      </c>
      <c r="F48">
        <v>256413</v>
      </c>
      <c r="G48">
        <v>2.4900000000000002</v>
      </c>
      <c r="H48">
        <v>2.9860000000000002</v>
      </c>
    </row>
    <row r="49" spans="1:8" x14ac:dyDescent="0.25">
      <c r="A49" t="s">
        <v>55</v>
      </c>
      <c r="B49">
        <v>46254</v>
      </c>
      <c r="C49">
        <v>21967</v>
      </c>
      <c r="D49">
        <v>85459</v>
      </c>
      <c r="E49">
        <v>5.64</v>
      </c>
      <c r="F49">
        <v>153680</v>
      </c>
      <c r="G49">
        <v>1.49</v>
      </c>
      <c r="H49">
        <v>6.6563999999999997</v>
      </c>
    </row>
    <row r="50" spans="1:8" x14ac:dyDescent="0.25">
      <c r="A50" t="s">
        <v>56</v>
      </c>
      <c r="B50">
        <v>63795</v>
      </c>
      <c r="C50">
        <v>29622</v>
      </c>
      <c r="D50">
        <v>117154</v>
      </c>
      <c r="E50">
        <v>1.0900000000000001</v>
      </c>
      <c r="F50">
        <v>210571</v>
      </c>
      <c r="G50">
        <v>2.0499999999999998</v>
      </c>
      <c r="H50">
        <v>1.2864</v>
      </c>
    </row>
    <row r="51" spans="1:8" x14ac:dyDescent="0.25">
      <c r="A51" t="s">
        <v>57</v>
      </c>
      <c r="B51">
        <v>60434</v>
      </c>
      <c r="C51">
        <v>28973</v>
      </c>
      <c r="D51">
        <v>104732</v>
      </c>
      <c r="E51">
        <v>1.03</v>
      </c>
      <c r="F51">
        <v>194139</v>
      </c>
      <c r="G51">
        <v>1.89</v>
      </c>
      <c r="H51">
        <v>1.2156</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vt:lpstr>
      <vt:lpstr>scatter chart</vt:lpstr>
      <vt:lpstr>Set 1_Postgress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  Mark</dc:creator>
  <cp:lastModifiedBy>Windows User</cp:lastModifiedBy>
  <dcterms:created xsi:type="dcterms:W3CDTF">2023-07-22T07:26:44Z</dcterms:created>
  <dcterms:modified xsi:type="dcterms:W3CDTF">2023-07-23T09:21:06Z</dcterms:modified>
</cp:coreProperties>
</file>