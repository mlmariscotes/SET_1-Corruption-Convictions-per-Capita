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SI USER\Desktop\FP1.7_Final Task\=== Refocus Final Project ===\excel\"/>
    </mc:Choice>
  </mc:AlternateContent>
  <bookViews>
    <workbookView xWindow="0" yWindow="0" windowWidth="20490" windowHeight="7620"/>
  </bookViews>
  <sheets>
    <sheet name="Pivot" sheetId="2" r:id="rId1"/>
    <sheet name="competitors" sheetId="1" r:id="rId2"/>
  </sheets>
  <definedNames>
    <definedName name="_xlnm._FilterDatabase" localSheetId="1" hidden="1">competitors!$A$1:$G$1</definedName>
  </definedNames>
  <calcPr calcId="162913"/>
  <pivotCaches>
    <pivotCache cacheId="0" r:id="rId3"/>
  </pivotCaches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" i="1"/>
</calcChain>
</file>

<file path=xl/sharedStrings.xml><?xml version="1.0" encoding="utf-8"?>
<sst xmlns="http://schemas.openxmlformats.org/spreadsheetml/2006/main" count="322" uniqueCount="51">
  <si>
    <t>research_development_spent</t>
  </si>
  <si>
    <t>administration</t>
  </si>
  <si>
    <t>marketing_spent</t>
  </si>
  <si>
    <t>state_usa</t>
  </si>
  <si>
    <t>profit</t>
  </si>
  <si>
    <t>New York</t>
  </si>
  <si>
    <t>California</t>
  </si>
  <si>
    <t>Florida</t>
  </si>
  <si>
    <t>Washington</t>
  </si>
  <si>
    <t>Iowa</t>
  </si>
  <si>
    <t>Wyoming</t>
  </si>
  <si>
    <t>Montana</t>
  </si>
  <si>
    <t>Idaho</t>
  </si>
  <si>
    <t>Massachusetts</t>
  </si>
  <si>
    <t>Arkansas</t>
  </si>
  <si>
    <t>Mississippi</t>
  </si>
  <si>
    <t>Indiana</t>
  </si>
  <si>
    <t>Illinois</t>
  </si>
  <si>
    <t>Louisiana</t>
  </si>
  <si>
    <t>Utah</t>
  </si>
  <si>
    <t>Vermont</t>
  </si>
  <si>
    <t>Nevada</t>
  </si>
  <si>
    <t>Connecticut</t>
  </si>
  <si>
    <t>Ohio</t>
  </si>
  <si>
    <t>Delaware</t>
  </si>
  <si>
    <t>Kentucky</t>
  </si>
  <si>
    <t>Michigan</t>
  </si>
  <si>
    <t>Virginia</t>
  </si>
  <si>
    <t>Missouri</t>
  </si>
  <si>
    <t>Alaska</t>
  </si>
  <si>
    <t>Oregon</t>
  </si>
  <si>
    <t>Hawaii</t>
  </si>
  <si>
    <t>Texas</t>
  </si>
  <si>
    <t>Oklahoma</t>
  </si>
  <si>
    <t>Alabama</t>
  </si>
  <si>
    <t>Arizona</t>
  </si>
  <si>
    <t>Maine</t>
  </si>
  <si>
    <t>Maryland</t>
  </si>
  <si>
    <t>Colorado</t>
  </si>
  <si>
    <t>Tennessee</t>
  </si>
  <si>
    <t>Pennsylvania</t>
  </si>
  <si>
    <t>Georgia</t>
  </si>
  <si>
    <t>Minnesota</t>
  </si>
  <si>
    <t>Nebraska</t>
  </si>
  <si>
    <t>Wisconsin</t>
  </si>
  <si>
    <t>Kansas</t>
  </si>
  <si>
    <t>operating cost</t>
  </si>
  <si>
    <t>Row Labels</t>
  </si>
  <si>
    <t>Grand Total</t>
  </si>
  <si>
    <t>Net Profit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</si>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</sst>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43" fontId="0" fillId="0" borderId="0" xfId="42" applyFont="1"/>
    <xf numFmtId="43" fontId="0" fillId="34" borderId="10" xfId="42" applyNumberFormat="1" applyFont="1" applyFill="1" applyBorder="1"/>
    <xf numFmtId="43" fontId="0" fillId="34" borderId="11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43" fontId="0" fillId="34" borderId="12" xfId="42" applyNumberFormat="1" applyFont="1" applyFill="1" applyBorder="1"/>
    <xf numFmtId="43" fontId="0" fillId="34" borderId="13" xfId="0" applyNumberFormat="1" applyFont="1" applyFill="1" applyBorder="1"/>
    <xf numFmtId="43" fontId="0" fillId="0" borderId="12" xfId="42" applyNumberFormat="1" applyFont="1" applyBorder="1"/>
    <xf numFmtId="43" fontId="0" fillId="0" borderId="13" xfId="0" applyNumberFormat="1" applyFont="1" applyBorder="1"/>
    <xf numFmtId="0" fontId="0" fillId="34" borderId="12" xfId="0" applyFont="1" applyFill="1" applyBorder="1"/>
    <xf numFmtId="0" fontId="0" fillId="0" borderId="12" xfId="0" applyFont="1" applyBorder="1"/>
    <xf numFmtId="0" fontId="0" fillId="34" borderId="10" xfId="0" applyFont="1" applyFill="1" applyBorder="1"/>
    <xf numFmtId="0" fontId="13" fillId="33" borderId="0" xfId="0" applyFont="1" applyFill="1" applyBorder="1"/>
    <xf numFmtId="43" fontId="13" fillId="33" borderId="0" xfId="42" applyNumberFormat="1" applyFont="1" applyFill="1" applyBorder="1"/>
    <xf numFmtId="0" fontId="13" fillId="33" borderId="14" xfId="0" applyFont="1" applyFill="1" applyBorder="1"/>
    <xf numFmtId="164" fontId="0" fillId="0" borderId="0" xfId="42" applyNumberFormat="1" applyFont="1"/>
    <xf numFmtId="164" fontId="0" fillId="0" borderId="0" xfId="0" applyNumberFormat="1"/>
    <xf numFmtId="10" fontId="13" fillId="33" borderId="14" xfId="43" applyNumberFormat="1" applyFont="1" applyFill="1" applyBorder="1"/>
    <xf numFmtId="10" fontId="0" fillId="0" borderId="0" xfId="43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Viabilit Metrics_competitors.xlsx]Pivot!PivotTable3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ysClr val="windowText" lastClr="000000"/>
                </a:solidFill>
                <a:latin typeface="Gadugi" panose="020B0502040204020203" pitchFamily="34" charset="0"/>
                <a:ea typeface="Gadugi" panose="020B0502040204020203" pitchFamily="34" charset="0"/>
                <a:cs typeface="+mn-cs"/>
              </a:defRPr>
            </a:pPr>
            <a:r>
              <a:rPr lang="en-US" sz="2400">
                <a:solidFill>
                  <a:sysClr val="windowText" lastClr="000000"/>
                </a:solidFill>
                <a:latin typeface="Gadugi" panose="020B0502040204020203" pitchFamily="34" charset="0"/>
                <a:ea typeface="Gadugi" panose="020B0502040204020203" pitchFamily="34" charset="0"/>
              </a:rPr>
              <a:t>NET</a:t>
            </a:r>
            <a:r>
              <a:rPr lang="en-US" sz="2400" baseline="0">
                <a:solidFill>
                  <a:sysClr val="windowText" lastClr="000000"/>
                </a:solidFill>
                <a:latin typeface="Gadugi" panose="020B0502040204020203" pitchFamily="34" charset="0"/>
                <a:ea typeface="Gadugi" panose="020B0502040204020203" pitchFamily="34" charset="0"/>
              </a:rPr>
              <a:t> PROFIT PER STATE</a:t>
            </a:r>
            <a:endParaRPr lang="en-US" sz="2400">
              <a:solidFill>
                <a:sysClr val="windowText" lastClr="000000"/>
              </a:solidFill>
              <a:latin typeface="Gadugi" panose="020B0502040204020203" pitchFamily="34" charset="0"/>
              <a:ea typeface="Gadugi" panose="020B0502040204020203" pitchFamily="34" charset="0"/>
            </a:endParaRPr>
          </a:p>
        </c:rich>
      </c:tx>
      <c:layout>
        <c:manualLayout>
          <c:xMode val="edge"/>
          <c:yMode val="edge"/>
          <c:x val="0.63439306924218775"/>
          <c:y val="6.2992117305320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ysClr val="windowText" lastClr="000000"/>
              </a:solidFill>
              <a:latin typeface="Gadugi" panose="020B0502040204020203" pitchFamily="34" charset="0"/>
              <a:ea typeface="Gadugi" panose="020B0502040204020203" pitchFamily="34" charset="0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dugi" panose="020B0502040204020203" pitchFamily="34" charset="0"/>
                  <a:ea typeface="Gadugi" panose="020B05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6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9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1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5804856197856522E-2"/>
          <c:y val="2.1513626729820445E-2"/>
          <c:w val="0.90051993213492665"/>
          <c:h val="0.9592387818713317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3117-48FF-8C9F-1D449590A5F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3117-48FF-8C9F-1D449590A5F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3117-48FF-8C9F-1D449590A5F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3117-48FF-8C9F-1D449590A5F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3117-48FF-8C9F-1D449590A5F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117-48FF-8C9F-1D449590A5F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117-48FF-8C9F-1D449590A5F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17-48FF-8C9F-1D449590A5F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117-48FF-8C9F-1D449590A5F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117-48FF-8C9F-1D449590A5F3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117-48FF-8C9F-1D449590A5F3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117-48FF-8C9F-1D449590A5F3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117-48FF-8C9F-1D449590A5F3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117-48FF-8C9F-1D449590A5F3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117-48FF-8C9F-1D449590A5F3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117-48FF-8C9F-1D449590A5F3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117-48FF-8C9F-1D449590A5F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117-48FF-8C9F-1D449590A5F3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117-48FF-8C9F-1D449590A5F3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117-48FF-8C9F-1D449590A5F3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117-48FF-8C9F-1D449590A5F3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117-48FF-8C9F-1D449590A5F3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3117-48FF-8C9F-1D449590A5F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3117-48FF-8C9F-1D449590A5F3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3117-48FF-8C9F-1D449590A5F3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3117-48FF-8C9F-1D449590A5F3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3117-48FF-8C9F-1D449590A5F3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3117-48FF-8C9F-1D449590A5F3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3117-48FF-8C9F-1D449590A5F3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117-48FF-8C9F-1D449590A5F3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3117-48FF-8C9F-1D449590A5F3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117-48FF-8C9F-1D449590A5F3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3117-48FF-8C9F-1D449590A5F3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117-48FF-8C9F-1D449590A5F3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3117-48FF-8C9F-1D449590A5F3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117-48FF-8C9F-1D449590A5F3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3117-48FF-8C9F-1D449590A5F3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3117-48FF-8C9F-1D449590A5F3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3117-48FF-8C9F-1D449590A5F3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3117-48FF-8C9F-1D449590A5F3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3117-48FF-8C9F-1D449590A5F3}"/>
              </c:ext>
            </c:extLst>
          </c:dPt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17-48FF-8C9F-1D449590A5F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117-48FF-8C9F-1D449590A5F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17-48FF-8C9F-1D449590A5F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117-48FF-8C9F-1D449590A5F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17-48FF-8C9F-1D449590A5F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117-48FF-8C9F-1D449590A5F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17-48FF-8C9F-1D449590A5F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117-48FF-8C9F-1D449590A5F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117-48FF-8C9F-1D449590A5F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117-48FF-8C9F-1D449590A5F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117-48FF-8C9F-1D449590A5F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117-48FF-8C9F-1D449590A5F3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117-48FF-8C9F-1D449590A5F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117-48FF-8C9F-1D449590A5F3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117-48FF-8C9F-1D449590A5F3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117-48FF-8C9F-1D449590A5F3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117-48FF-8C9F-1D449590A5F3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117-48FF-8C9F-1D449590A5F3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3117-48FF-8C9F-1D449590A5F3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3117-48FF-8C9F-1D449590A5F3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3117-48FF-8C9F-1D449590A5F3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3117-48FF-8C9F-1D449590A5F3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3117-48FF-8C9F-1D449590A5F3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3117-48FF-8C9F-1D449590A5F3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117-48FF-8C9F-1D449590A5F3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117-48FF-8C9F-1D449590A5F3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117-48FF-8C9F-1D449590A5F3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117-48FF-8C9F-1D449590A5F3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117-48FF-8C9F-1D449590A5F3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117-48FF-8C9F-1D449590A5F3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117-48FF-8C9F-1D449590A5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dugi" panose="020B0502040204020203" pitchFamily="34" charset="0"/>
                    <a:ea typeface="Gadugi" panose="020B0502040204020203" pitchFamily="34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Pivot!$A$5:$A$46</c:f>
              <c:strCache>
                <c:ptCount val="41"/>
                <c:pt idx="0">
                  <c:v>Wyoming</c:v>
                </c:pt>
                <c:pt idx="1">
                  <c:v>Oklahoma</c:v>
                </c:pt>
                <c:pt idx="2">
                  <c:v>Oregon</c:v>
                </c:pt>
                <c:pt idx="3">
                  <c:v>Montana</c:v>
                </c:pt>
                <c:pt idx="4">
                  <c:v>Mississippi</c:v>
                </c:pt>
                <c:pt idx="5">
                  <c:v>Washington</c:v>
                </c:pt>
                <c:pt idx="6">
                  <c:v>Louisiana</c:v>
                </c:pt>
                <c:pt idx="7">
                  <c:v>Utah</c:v>
                </c:pt>
                <c:pt idx="8">
                  <c:v>Florida</c:v>
                </c:pt>
                <c:pt idx="9">
                  <c:v>California</c:v>
                </c:pt>
                <c:pt idx="10">
                  <c:v>Alaska</c:v>
                </c:pt>
                <c:pt idx="11">
                  <c:v>Illinois</c:v>
                </c:pt>
                <c:pt idx="12">
                  <c:v>Ohio</c:v>
                </c:pt>
                <c:pt idx="13">
                  <c:v>Nebraska</c:v>
                </c:pt>
                <c:pt idx="14">
                  <c:v>Delaware</c:v>
                </c:pt>
                <c:pt idx="15">
                  <c:v>Maine</c:v>
                </c:pt>
                <c:pt idx="16">
                  <c:v>Pennsylvania</c:v>
                </c:pt>
                <c:pt idx="17">
                  <c:v>Idaho</c:v>
                </c:pt>
                <c:pt idx="18">
                  <c:v>Kansas</c:v>
                </c:pt>
                <c:pt idx="19">
                  <c:v>Minnesota</c:v>
                </c:pt>
                <c:pt idx="20">
                  <c:v>Connecticut</c:v>
                </c:pt>
                <c:pt idx="21">
                  <c:v>Maryland</c:v>
                </c:pt>
                <c:pt idx="22">
                  <c:v>Indiana</c:v>
                </c:pt>
                <c:pt idx="23">
                  <c:v>Massachusetts</c:v>
                </c:pt>
                <c:pt idx="24">
                  <c:v>Michigan</c:v>
                </c:pt>
                <c:pt idx="25">
                  <c:v>Georgia</c:v>
                </c:pt>
                <c:pt idx="26">
                  <c:v>Tennessee</c:v>
                </c:pt>
                <c:pt idx="27">
                  <c:v>Alabama</c:v>
                </c:pt>
                <c:pt idx="28">
                  <c:v>Iowa</c:v>
                </c:pt>
                <c:pt idx="29">
                  <c:v>Missouri</c:v>
                </c:pt>
                <c:pt idx="30">
                  <c:v>Texas</c:v>
                </c:pt>
                <c:pt idx="31">
                  <c:v>Hawaii</c:v>
                </c:pt>
                <c:pt idx="32">
                  <c:v>Kentucky</c:v>
                </c:pt>
                <c:pt idx="33">
                  <c:v>Colorado</c:v>
                </c:pt>
                <c:pt idx="34">
                  <c:v>Nevada</c:v>
                </c:pt>
                <c:pt idx="35">
                  <c:v>New York</c:v>
                </c:pt>
                <c:pt idx="36">
                  <c:v>Arizona</c:v>
                </c:pt>
                <c:pt idx="37">
                  <c:v>Virginia</c:v>
                </c:pt>
                <c:pt idx="38">
                  <c:v>Vermont</c:v>
                </c:pt>
                <c:pt idx="39">
                  <c:v>Arkansas</c:v>
                </c:pt>
                <c:pt idx="40">
                  <c:v>Wisconsin</c:v>
                </c:pt>
              </c:strCache>
            </c:strRef>
          </c:cat>
          <c:val>
            <c:numRef>
              <c:f>Pivot!$B$5:$B$46</c:f>
              <c:numCache>
                <c:formatCode>_(* #,##0_);_(* \(#,##0\);_(* "-"??_);_(@_)</c:formatCode>
                <c:ptCount val="41"/>
                <c:pt idx="0">
                  <c:v>16710539.900000002</c:v>
                </c:pt>
                <c:pt idx="1">
                  <c:v>15699222.930000002</c:v>
                </c:pt>
                <c:pt idx="2">
                  <c:v>14574425.910000002</c:v>
                </c:pt>
                <c:pt idx="3">
                  <c:v>14333030.910000002</c:v>
                </c:pt>
                <c:pt idx="4">
                  <c:v>12863827.910000002</c:v>
                </c:pt>
                <c:pt idx="5">
                  <c:v>12466539.920000002</c:v>
                </c:pt>
                <c:pt idx="6">
                  <c:v>11876595.910000002</c:v>
                </c:pt>
                <c:pt idx="7">
                  <c:v>11252166.940000001</c:v>
                </c:pt>
                <c:pt idx="8">
                  <c:v>11171566.15</c:v>
                </c:pt>
                <c:pt idx="9">
                  <c:v>10754524</c:v>
                </c:pt>
                <c:pt idx="10">
                  <c:v>9845632.9500000011</c:v>
                </c:pt>
                <c:pt idx="11">
                  <c:v>9492786.9400000013</c:v>
                </c:pt>
                <c:pt idx="12">
                  <c:v>9435823.9500000011</c:v>
                </c:pt>
                <c:pt idx="13">
                  <c:v>9167723.9400000013</c:v>
                </c:pt>
                <c:pt idx="14">
                  <c:v>9060875.9600000009</c:v>
                </c:pt>
                <c:pt idx="15">
                  <c:v>8844010.9400000013</c:v>
                </c:pt>
                <c:pt idx="16">
                  <c:v>8813872.9400000013</c:v>
                </c:pt>
                <c:pt idx="17">
                  <c:v>8754868.9400000013</c:v>
                </c:pt>
                <c:pt idx="18">
                  <c:v>7897002.9500000011</c:v>
                </c:pt>
                <c:pt idx="19">
                  <c:v>7859138.9600000009</c:v>
                </c:pt>
                <c:pt idx="20">
                  <c:v>7736904.9600000009</c:v>
                </c:pt>
                <c:pt idx="21">
                  <c:v>7120800.96</c:v>
                </c:pt>
                <c:pt idx="22">
                  <c:v>6649068.9600000009</c:v>
                </c:pt>
                <c:pt idx="23">
                  <c:v>6328527.9500000011</c:v>
                </c:pt>
                <c:pt idx="24">
                  <c:v>6203156.9500000002</c:v>
                </c:pt>
                <c:pt idx="25">
                  <c:v>5965227.9500000002</c:v>
                </c:pt>
                <c:pt idx="26">
                  <c:v>5694940.9700000007</c:v>
                </c:pt>
                <c:pt idx="27">
                  <c:v>5692296.9500000002</c:v>
                </c:pt>
                <c:pt idx="28">
                  <c:v>5336347.9600000009</c:v>
                </c:pt>
                <c:pt idx="29">
                  <c:v>5267210.9400000004</c:v>
                </c:pt>
                <c:pt idx="30">
                  <c:v>4928633.9400000004</c:v>
                </c:pt>
                <c:pt idx="31">
                  <c:v>4666354.9700000007</c:v>
                </c:pt>
                <c:pt idx="32">
                  <c:v>4343518.9700000007</c:v>
                </c:pt>
                <c:pt idx="33">
                  <c:v>3676113.9699999997</c:v>
                </c:pt>
                <c:pt idx="34">
                  <c:v>3422492.9800000004</c:v>
                </c:pt>
                <c:pt idx="35">
                  <c:v>3302593.0100000002</c:v>
                </c:pt>
                <c:pt idx="36">
                  <c:v>2942282.99</c:v>
                </c:pt>
                <c:pt idx="37">
                  <c:v>2464341.98</c:v>
                </c:pt>
                <c:pt idx="38">
                  <c:v>2348855.9800000004</c:v>
                </c:pt>
                <c:pt idx="39">
                  <c:v>1487917.98</c:v>
                </c:pt>
                <c:pt idx="40">
                  <c:v>1241594.98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7-48FF-8C9F-1D449590A5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02072424"/>
        <c:axId val="402074064"/>
      </c:barChart>
      <c:catAx>
        <c:axId val="402072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adugi" panose="020B0502040204020203" pitchFamily="34" charset="0"/>
                <a:ea typeface="Gadugi" panose="020B0502040204020203" pitchFamily="34" charset="0"/>
                <a:cs typeface="+mn-cs"/>
              </a:defRPr>
            </a:pPr>
            <a:endParaRPr lang="en-US"/>
          </a:p>
        </c:txPr>
        <c:crossAx val="402074064"/>
        <c:crosses val="autoZero"/>
        <c:auto val="1"/>
        <c:lblAlgn val="ctr"/>
        <c:lblOffset val="100"/>
        <c:noMultiLvlLbl val="0"/>
      </c:catAx>
      <c:valAx>
        <c:axId val="402074064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402072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61911</xdr:colOff>
      <xdr:row>2</xdr:row>
      <xdr:rowOff>38098</xdr:rowOff>
    </xdr:from>
    <xdr:to>
      <xdr:col>19</xdr:col>
      <xdr:colOff>523875</xdr:colOff>
      <xdr:row>40</xdr:row>
      <xdr:rowOff>57149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5130.434815624998" createdVersion="6" refreshedVersion="6" minRefreshableVersion="3" recordCount="271">
  <cacheSource type="worksheet">
    <worksheetSource name="Table2"/>
  </cacheSource>
  <cacheFields count="8">
    <cacheField name="state_usa" numFmtId="0">
      <sharedItems count="41">
        <s v="New York"/>
        <s v="California"/>
        <s v="Florida"/>
        <s v="Washington"/>
        <s v="Iowa"/>
        <s v="Wyoming"/>
        <s v="Montana"/>
        <s v="Idaho"/>
        <s v="Massachusetts"/>
        <s v="Arkansas"/>
        <s v="Mississippi"/>
        <s v="Indiana"/>
        <s v="Illinois"/>
        <s v="Louisiana"/>
        <s v="Utah"/>
        <s v="Vermont"/>
        <s v="Nevada"/>
        <s v="Connecticut"/>
        <s v="Ohio"/>
        <s v="Delaware"/>
        <s v="Kentucky"/>
        <s v="Michigan"/>
        <s v="Virginia"/>
        <s v="Missouri"/>
        <s v="Alaska"/>
        <s v="Oregon"/>
        <s v="Hawaii"/>
        <s v="Texas"/>
        <s v="Oklahoma"/>
        <s v="Alabama"/>
        <s v="Arizona"/>
        <s v="Maine"/>
        <s v="Maryland"/>
        <s v="Colorado"/>
        <s v="Tennessee"/>
        <s v="Pennsylvania"/>
        <s v="Georgia"/>
        <s v="Minnesota"/>
        <s v="Nebraska"/>
        <s v="Wisconsin"/>
        <s v="Kansas"/>
      </sharedItems>
    </cacheField>
    <cacheField name="research_development_spent" numFmtId="43">
      <sharedItems containsSemiMixedTypes="0" containsString="0" containsNumber="1" minValue="0" maxValue="1997933.99"/>
    </cacheField>
    <cacheField name="administration" numFmtId="43">
      <sharedItems containsSemiMixedTypes="0" containsString="0" containsNumber="1" minValue="50416.9" maxValue="182645.56"/>
    </cacheField>
    <cacheField name="marketing_spent" numFmtId="43">
      <sharedItems containsSemiMixedTypes="0" containsString="0" containsNumber="1" minValue="0" maxValue="471784.1"/>
    </cacheField>
    <cacheField name="profit" numFmtId="43">
      <sharedItems containsSemiMixedTypes="0" containsString="0" containsNumber="1" minValue="14681.4" maxValue="2946679.99"/>
    </cacheField>
    <cacheField name="% profit" numFmtId="9">
      <sharedItems containsSemiMixedTypes="0" containsString="0" containsNumber="1" minValue="5.1398293852193161E-2" maxValue="0.92878077811591675"/>
    </cacheField>
    <cacheField name="operating cost" numFmtId="43">
      <sharedItems containsSemiMixedTypes="0" containsString="0" containsNumber="1" minValue="52285.200000000004" maxValue="2177893.8899999997"/>
    </cacheField>
    <cacheField name="% operating cost" numFmtId="9">
      <sharedItems containsSemiMixedTypes="0" containsString="0" containsNumber="1" minValue="7.1219221884083278E-2" maxValue="0.948601706147806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1">
  <r>
    <x v="0"/>
    <n v="165349.20000000001"/>
    <n v="136897.79999999999"/>
    <n v="471784.1"/>
    <n v="192261.83"/>
    <n v="0.19896847429071016"/>
    <n v="774031.1"/>
    <n v="0.80103152570928982"/>
  </r>
  <r>
    <x v="1"/>
    <n v="162597.70000000001"/>
    <n v="151377.59"/>
    <n v="443898.53"/>
    <n v="191792.06"/>
    <n v="0.20195740843084725"/>
    <n v="757873.82000000007"/>
    <n v="0.79804259156915269"/>
  </r>
  <r>
    <x v="2"/>
    <n v="153441.51"/>
    <n v="101145.55"/>
    <n v="407934.54"/>
    <n v="191050.39"/>
    <n v="0.22382457746768381"/>
    <n v="662521.59999999998"/>
    <n v="0.77617542253231619"/>
  </r>
  <r>
    <x v="0"/>
    <n v="144372.41"/>
    <n v="118671.85"/>
    <n v="383199.62"/>
    <n v="182901.99"/>
    <n v="0.22059084730169373"/>
    <n v="646243.88"/>
    <n v="0.77940915269830624"/>
  </r>
  <r>
    <x v="2"/>
    <n v="142107.34"/>
    <n v="91391.77"/>
    <n v="366168.42"/>
    <n v="166187.94"/>
    <n v="0.21699647846087722"/>
    <n v="599667.53"/>
    <n v="0.78300352153912289"/>
  </r>
  <r>
    <x v="0"/>
    <n v="131876.9"/>
    <n v="99814.71"/>
    <n v="362861.36"/>
    <n v="156991.12"/>
    <n v="0.20889143044155933"/>
    <n v="594552.97"/>
    <n v="0.79110856955844067"/>
  </r>
  <r>
    <x v="1"/>
    <n v="134615.46"/>
    <n v="147198.87"/>
    <n v="127716.82"/>
    <n v="156122.51"/>
    <n v="0.2760037122362119"/>
    <n v="409531.14999999997"/>
    <n v="0.72399628776378822"/>
  </r>
  <r>
    <x v="2"/>
    <n v="130298.13"/>
    <n v="145530.06"/>
    <n v="323876.68"/>
    <n v="155752.6"/>
    <n v="0.20616991185486591"/>
    <n v="599704.87"/>
    <n v="0.79383008814513412"/>
  </r>
  <r>
    <x v="0"/>
    <n v="120542.52"/>
    <n v="148718.95000000001"/>
    <n v="311613.28999999998"/>
    <n v="152211.76999999999"/>
    <n v="0.20763138288736527"/>
    <n v="580874.76"/>
    <n v="0.79236861711263473"/>
  </r>
  <r>
    <x v="1"/>
    <n v="123334.88"/>
    <n v="108679.17"/>
    <n v="304981.62"/>
    <n v="149759.96"/>
    <n v="0.21806877651661918"/>
    <n v="536995.66999999993"/>
    <n v="0.78193122348338084"/>
  </r>
  <r>
    <x v="2"/>
    <n v="101913.08"/>
    <n v="110594.11"/>
    <n v="229160.95"/>
    <n v="146121.95000000001"/>
    <n v="0.24859546373093835"/>
    <n v="441668.14"/>
    <n v="0.75140453626906156"/>
  </r>
  <r>
    <x v="1"/>
    <n v="100671.96"/>
    <n v="91790.61"/>
    <n v="249744.55"/>
    <n v="144259.4"/>
    <n v="0.24598062307120275"/>
    <n v="442207.12"/>
    <n v="0.75401937692879717"/>
  </r>
  <r>
    <x v="2"/>
    <n v="93863.75"/>
    <n v="127320.38"/>
    <n v="249839.44"/>
    <n v="141585.51999999999"/>
    <n v="0.23111886896748463"/>
    <n v="471023.57"/>
    <n v="0.76888113103251543"/>
  </r>
  <r>
    <x v="1"/>
    <n v="91992.39"/>
    <n v="135495.07"/>
    <n v="252664.93"/>
    <n v="134307.35"/>
    <n v="0.21857794946825973"/>
    <n v="480152.39"/>
    <n v="0.7814220505317403"/>
  </r>
  <r>
    <x v="2"/>
    <n v="119943.24"/>
    <n v="156547.42000000001"/>
    <n v="256512.92"/>
    <n v="132602.65"/>
    <n v="0.19922086666766922"/>
    <n v="533003.58000000007"/>
    <n v="0.80077913333233075"/>
  </r>
  <r>
    <x v="0"/>
    <n v="114523.61"/>
    <n v="122616.84"/>
    <n v="261776.23"/>
    <n v="129917.04"/>
    <n v="0.20659998958071138"/>
    <n v="498916.68000000005"/>
    <n v="0.79340001041928854"/>
  </r>
  <r>
    <x v="1"/>
    <n v="78013.11"/>
    <n v="121597.55"/>
    <n v="264346.06"/>
    <n v="126992.93"/>
    <n v="0.214896362152004"/>
    <n v="463956.72"/>
    <n v="0.78510363784799608"/>
  </r>
  <r>
    <x v="0"/>
    <n v="94657.16"/>
    <n v="145077.57999999999"/>
    <n v="282574.31"/>
    <n v="125370.37"/>
    <n v="0.19356855587599187"/>
    <n v="522309.05"/>
    <n v="0.80643144412400825"/>
  </r>
  <r>
    <x v="2"/>
    <n v="91749.16"/>
    <n v="114175.79"/>
    <n v="294919.57"/>
    <n v="124266.9"/>
    <n v="0.19879160102370227"/>
    <n v="500844.52"/>
    <n v="0.8012083989762977"/>
  </r>
  <r>
    <x v="0"/>
    <n v="86419.7"/>
    <n v="153514.10999999999"/>
    <n v="0"/>
    <n v="122776.86"/>
    <n v="0.3384980651382547"/>
    <n v="239933.81"/>
    <n v="0.66150193486174536"/>
  </r>
  <r>
    <x v="1"/>
    <n v="76253.86"/>
    <n v="113867.3"/>
    <n v="298664.46999999997"/>
    <n v="118474.03"/>
    <n v="0.19509616364110205"/>
    <n v="488785.63"/>
    <n v="0.80490383635889795"/>
  </r>
  <r>
    <x v="0"/>
    <n v="78389.47"/>
    <n v="153773.43"/>
    <n v="299737.28999999998"/>
    <n v="111313.02"/>
    <n v="0.17305773306490396"/>
    <n v="531900.18999999994"/>
    <n v="0.82694226693509598"/>
  </r>
  <r>
    <x v="2"/>
    <n v="73994.559999999998"/>
    <n v="122782.75"/>
    <n v="303319.26"/>
    <n v="110352.25"/>
    <n v="0.18077232092937781"/>
    <n v="500096.57"/>
    <n v="0.81922767907062211"/>
  </r>
  <r>
    <x v="2"/>
    <n v="67532.53"/>
    <n v="105751.03"/>
    <n v="304768.73"/>
    <n v="108733.99"/>
    <n v="0.18530424739992216"/>
    <n v="478052.29"/>
    <n v="0.81469575260007776"/>
  </r>
  <r>
    <x v="0"/>
    <n v="77044.009999999995"/>
    <n v="99281.34"/>
    <n v="140574.81"/>
    <n v="108552.04"/>
    <n v="0.25514509032977151"/>
    <n v="316900.15999999997"/>
    <n v="0.74485490967022849"/>
  </r>
  <r>
    <x v="1"/>
    <n v="64664.71"/>
    <n v="139553.16"/>
    <n v="137962.62"/>
    <n v="107404.34"/>
    <n v="0.23889671722242053"/>
    <n v="342180.49"/>
    <n v="0.76110328277757955"/>
  </r>
  <r>
    <x v="2"/>
    <n v="75328.87"/>
    <n v="144135.98000000001"/>
    <n v="134050.07"/>
    <n v="105733.54"/>
    <n v="0.23023167023793611"/>
    <n v="353514.92000000004"/>
    <n v="0.76976832976206389"/>
  </r>
  <r>
    <x v="0"/>
    <n v="72107.600000000006"/>
    <n v="127864.55"/>
    <n v="353183.81"/>
    <n v="105008.31"/>
    <n v="0.15954726621668477"/>
    <n v="553155.96"/>
    <n v="0.84045273378331509"/>
  </r>
  <r>
    <x v="2"/>
    <n v="66051.520000000004"/>
    <n v="182645.56"/>
    <n v="118148.2"/>
    <n v="103282.38"/>
    <n v="0.21969007311758681"/>
    <n v="366845.28"/>
    <n v="0.78030992688241319"/>
  </r>
  <r>
    <x v="0"/>
    <n v="65605.48"/>
    <n v="153032.06"/>
    <n v="107138.38"/>
    <n v="101004.64"/>
    <n v="0.2366664498495433"/>
    <n v="325775.92"/>
    <n v="0.76333355015045667"/>
  </r>
  <r>
    <x v="2"/>
    <n v="61994.48"/>
    <n v="115641.28"/>
    <n v="91131.24"/>
    <n v="99937.59"/>
    <n v="0.27105057194975524"/>
    <n v="268767"/>
    <n v="0.72894942805024487"/>
  </r>
  <r>
    <x v="0"/>
    <n v="61136.38"/>
    <n v="152701.92000000001"/>
    <n v="88218.23"/>
    <n v="97483.56"/>
    <n v="0.24398943295027037"/>
    <n v="302056.53000000003"/>
    <n v="0.75601056704972958"/>
  </r>
  <r>
    <x v="1"/>
    <n v="63408.86"/>
    <n v="129219.61"/>
    <n v="46085.25"/>
    <n v="97427.839999999997"/>
    <n v="0.28984169645669522"/>
    <n v="238713.72"/>
    <n v="0.71015830354330478"/>
  </r>
  <r>
    <x v="2"/>
    <n v="55493.95"/>
    <n v="103057.49"/>
    <n v="214634.81"/>
    <n v="96778.92"/>
    <n v="0.20592785631326679"/>
    <n v="373186.25"/>
    <n v="0.79407214368673329"/>
  </r>
  <r>
    <x v="1"/>
    <n v="46426.07"/>
    <n v="157693.92000000001"/>
    <n v="210797.67"/>
    <n v="96712.8"/>
    <n v="0.18902862038354792"/>
    <n v="414917.66000000003"/>
    <n v="0.81097137961645216"/>
  </r>
  <r>
    <x v="0"/>
    <n v="46014.02"/>
    <n v="85047.44"/>
    <n v="205517.64"/>
    <n v="96479.51"/>
    <n v="0.22278626442734853"/>
    <n v="336579.1"/>
    <n v="0.77721373557265139"/>
  </r>
  <r>
    <x v="2"/>
    <n v="28663.759999999998"/>
    <n v="127056.21"/>
    <n v="201126.82"/>
    <n v="90708.19"/>
    <n v="0.20267496520762654"/>
    <n v="356846.79000000004"/>
    <n v="0.79732503479237349"/>
  </r>
  <r>
    <x v="1"/>
    <n v="44069.95"/>
    <n v="51283.14"/>
    <n v="197029.42"/>
    <n v="89949.14"/>
    <n v="0.23526469754727342"/>
    <n v="292382.51"/>
    <n v="0.76473530245272658"/>
  </r>
  <r>
    <x v="0"/>
    <n v="20229.59"/>
    <n v="65947.929999999993"/>
    <n v="185265.1"/>
    <n v="81229.06"/>
    <n v="0.23032487326456152"/>
    <n v="271442.62"/>
    <n v="0.76967512673543848"/>
  </r>
  <r>
    <x v="1"/>
    <n v="38558.51"/>
    <n v="82982.09"/>
    <n v="174999.3"/>
    <n v="81005.759999999995"/>
    <n v="0.21455884302841671"/>
    <n v="296539.90000000002"/>
    <n v="0.78544115697158323"/>
  </r>
  <r>
    <x v="1"/>
    <n v="28754.33"/>
    <n v="118546.05"/>
    <n v="172795.67"/>
    <n v="78239.91"/>
    <n v="0.19641688889951084"/>
    <n v="320096.05000000005"/>
    <n v="0.80358311110048908"/>
  </r>
  <r>
    <x v="2"/>
    <n v="27892.92"/>
    <n v="84710.77"/>
    <n v="164470.71"/>
    <n v="77798.83"/>
    <n v="0.21922992049865242"/>
    <n v="277074.40000000002"/>
    <n v="0.78077007950134758"/>
  </r>
  <r>
    <x v="1"/>
    <n v="23640.93"/>
    <n v="96189.63"/>
    <n v="148001.10999999999"/>
    <n v="71498.490000000005"/>
    <n v="0.21070478969508638"/>
    <n v="267831.67"/>
    <n v="0.78929521030491367"/>
  </r>
  <r>
    <x v="0"/>
    <n v="15505.73"/>
    <n v="127382.3"/>
    <n v="35534.17"/>
    <n v="69758.98"/>
    <n v="0.28108086197349852"/>
    <n v="178422.2"/>
    <n v="0.71891913802650154"/>
  </r>
  <r>
    <x v="1"/>
    <n v="22177.74"/>
    <n v="154806.14000000001"/>
    <n v="28334.720000000001"/>
    <n v="65200.33"/>
    <n v="0.24101947320285499"/>
    <n v="205318.6"/>
    <n v="0.75898052679714512"/>
  </r>
  <r>
    <x v="0"/>
    <n v="1000.23"/>
    <n v="124153.04"/>
    <n v="1903.93"/>
    <n v="64926.080000000002"/>
    <n v="0.33818611704102569"/>
    <n v="127057.19999999998"/>
    <n v="0.66181388295897436"/>
  </r>
  <r>
    <x v="2"/>
    <n v="1315.46"/>
    <n v="115816.21"/>
    <n v="297114.46000000002"/>
    <n v="49490.75"/>
    <n v="0.10672161765525312"/>
    <n v="414246.13"/>
    <n v="0.89327838234474688"/>
  </r>
  <r>
    <x v="1"/>
    <n v="0"/>
    <n v="135426.92000000001"/>
    <n v="0"/>
    <n v="42559.73"/>
    <n v="0.23911754055711482"/>
    <n v="135426.92000000001"/>
    <n v="0.76088245944288513"/>
  </r>
  <r>
    <x v="0"/>
    <n v="542.04999999999995"/>
    <n v="51743.15"/>
    <n v="0"/>
    <n v="35673.410000000003"/>
    <n v="0.40557041544881162"/>
    <n v="52285.200000000004"/>
    <n v="0.59442958455118833"/>
  </r>
  <r>
    <x v="1"/>
    <n v="0"/>
    <n v="116983.8"/>
    <n v="45173.06"/>
    <n v="14681.4"/>
    <n v="8.3021626654774833E-2"/>
    <n v="162156.85999999999"/>
    <n v="0.91697837334522525"/>
  </r>
  <r>
    <x v="0"/>
    <n v="165349.20000000001"/>
    <n v="136897.79999999999"/>
    <n v="471784.1"/>
    <n v="192261.83"/>
    <n v="0.19896847429071016"/>
    <n v="774031.1"/>
    <n v="0.80103152570928982"/>
  </r>
  <r>
    <x v="1"/>
    <n v="162597.70000000001"/>
    <n v="151377.59"/>
    <n v="443898.53"/>
    <n v="191792.06"/>
    <n v="0.20195740843084725"/>
    <n v="757873.82000000007"/>
    <n v="0.79804259156915269"/>
  </r>
  <r>
    <x v="2"/>
    <n v="153441.51"/>
    <n v="101145.55"/>
    <n v="407934.54"/>
    <n v="191050.39"/>
    <n v="0.22382457746768381"/>
    <n v="662521.59999999998"/>
    <n v="0.77617542253231619"/>
  </r>
  <r>
    <x v="0"/>
    <n v="144372.41"/>
    <n v="118671.85"/>
    <n v="383199.62"/>
    <n v="182901.99"/>
    <n v="0.22059084730169373"/>
    <n v="646243.88"/>
    <n v="0.77940915269830624"/>
  </r>
  <r>
    <x v="2"/>
    <n v="142107.34"/>
    <n v="91391.77"/>
    <n v="366168.42"/>
    <n v="166187.94"/>
    <n v="0.21699647846087722"/>
    <n v="599667.53"/>
    <n v="0.78300352153912289"/>
  </r>
  <r>
    <x v="0"/>
    <n v="131876.9"/>
    <n v="99814.71"/>
    <n v="362861.36"/>
    <n v="156991.12"/>
    <n v="0.20889143044155933"/>
    <n v="594552.97"/>
    <n v="0.79110856955844067"/>
  </r>
  <r>
    <x v="1"/>
    <n v="134615.46"/>
    <n v="147198.87"/>
    <n v="127716.82"/>
    <n v="156122.51"/>
    <n v="0.2760037122362119"/>
    <n v="409531.14999999997"/>
    <n v="0.72399628776378822"/>
  </r>
  <r>
    <x v="2"/>
    <n v="130298.13"/>
    <n v="145530.06"/>
    <n v="323876.68"/>
    <n v="155752.6"/>
    <n v="0.20616991185486591"/>
    <n v="599704.87"/>
    <n v="0.79383008814513412"/>
  </r>
  <r>
    <x v="0"/>
    <n v="120542.52"/>
    <n v="148718.95000000001"/>
    <n v="311613.28999999998"/>
    <n v="152211.76999999999"/>
    <n v="0.20763138288736527"/>
    <n v="580874.76"/>
    <n v="0.79236861711263473"/>
  </r>
  <r>
    <x v="1"/>
    <n v="123334.88"/>
    <n v="108679.17"/>
    <n v="304981.62"/>
    <n v="149759.96"/>
    <n v="0.21806877651661918"/>
    <n v="536995.66999999993"/>
    <n v="0.78193122348338084"/>
  </r>
  <r>
    <x v="0"/>
    <n v="165349.20000000001"/>
    <n v="136897.79999999999"/>
    <n v="471784.1"/>
    <n v="192261.83"/>
    <n v="0.19896847429071016"/>
    <n v="774031.1"/>
    <n v="0.80103152570928982"/>
  </r>
  <r>
    <x v="1"/>
    <n v="162597.70000000001"/>
    <n v="151377.59"/>
    <n v="443898.53"/>
    <n v="191792.06"/>
    <n v="0.20195740843084725"/>
    <n v="757873.82000000007"/>
    <n v="0.79804259156915269"/>
  </r>
  <r>
    <x v="2"/>
    <n v="153441.51"/>
    <n v="101145.55"/>
    <n v="407934.54"/>
    <n v="191050.39"/>
    <n v="0.22382457746768381"/>
    <n v="662521.59999999998"/>
    <n v="0.77617542253231619"/>
  </r>
  <r>
    <x v="0"/>
    <n v="144372.41"/>
    <n v="118671.85"/>
    <n v="383199.62"/>
    <n v="182901.99"/>
    <n v="0.22059084730169373"/>
    <n v="646243.88"/>
    <n v="0.77940915269830624"/>
  </r>
  <r>
    <x v="2"/>
    <n v="142107.34"/>
    <n v="91391.77"/>
    <n v="366168.42"/>
    <n v="166187.94"/>
    <n v="0.21699647846087722"/>
    <n v="599667.53"/>
    <n v="0.78300352153912289"/>
  </r>
  <r>
    <x v="0"/>
    <n v="131876.9"/>
    <n v="99814.71"/>
    <n v="362861.36"/>
    <n v="156991.12"/>
    <n v="0.20889143044155933"/>
    <n v="594552.97"/>
    <n v="0.79110856955844067"/>
  </r>
  <r>
    <x v="1"/>
    <n v="134615.46"/>
    <n v="147198.87"/>
    <n v="127716.82"/>
    <n v="156122.51"/>
    <n v="0.2760037122362119"/>
    <n v="409531.14999999997"/>
    <n v="0.72399628776378822"/>
  </r>
  <r>
    <x v="2"/>
    <n v="130298.13"/>
    <n v="145530.06"/>
    <n v="323876.68"/>
    <n v="155752.6"/>
    <n v="0.20616991185486591"/>
    <n v="599704.87"/>
    <n v="0.79383008814513412"/>
  </r>
  <r>
    <x v="0"/>
    <n v="120542.52"/>
    <n v="148718.95000000001"/>
    <n v="311613.28999999998"/>
    <n v="152211.76999999999"/>
    <n v="0.20763138288736527"/>
    <n v="580874.76"/>
    <n v="0.79236861711263473"/>
  </r>
  <r>
    <x v="1"/>
    <n v="123334.88"/>
    <n v="108679.17"/>
    <n v="304981.62"/>
    <n v="149759.96"/>
    <n v="0.21806877651661918"/>
    <n v="536995.66999999993"/>
    <n v="0.78193122348338084"/>
  </r>
  <r>
    <x v="2"/>
    <n v="109669.89"/>
    <n v="91790.61"/>
    <n v="249744.55"/>
    <n v="146121.95000000001"/>
    <n v="0.24462639391823912"/>
    <n v="451205.05"/>
    <n v="0.75537360608176085"/>
  </r>
  <r>
    <x v="3"/>
    <n v="775784.99"/>
    <n v="52350.9"/>
    <n v="80389"/>
    <n v="1513476.99"/>
    <n v="0.62488679405979652"/>
    <n v="908524.89"/>
    <n v="0.37511320594020353"/>
  </r>
  <r>
    <x v="4"/>
    <n v="1122042.99"/>
    <n v="100415.9"/>
    <n v="82176"/>
    <n v="2879103.99"/>
    <n v="0.6881653163784448"/>
    <n v="1304634.8899999999"/>
    <n v="0.31183468362155525"/>
  </r>
  <r>
    <x v="5"/>
    <n v="753705.99"/>
    <n v="135318.9"/>
    <n v="119221"/>
    <n v="2187155.9900000002"/>
    <n v="0.68446977004344756"/>
    <n v="1008245.89"/>
    <n v="0.31553022995655239"/>
  </r>
  <r>
    <x v="6"/>
    <n v="1081346.99"/>
    <n v="104034.9"/>
    <n v="111462"/>
    <n v="2129557.9900000002"/>
    <n v="0.62151436538436655"/>
    <n v="1296843.8899999999"/>
    <n v="0.37848563461563356"/>
  </r>
  <r>
    <x v="7"/>
    <n v="1661861.99"/>
    <n v="125474.9"/>
    <n v="106219"/>
    <n v="2626991.9900000002"/>
    <n v="0.58112247889740309"/>
    <n v="1893555.89"/>
    <n v="0.41887752110259696"/>
  </r>
  <r>
    <x v="8"/>
    <n v="1313644.99"/>
    <n v="115013.9"/>
    <n v="43392"/>
    <n v="581341.99"/>
    <n v="0.2831128887522002"/>
    <n v="1472050.89"/>
    <n v="0.7168871112477998"/>
  </r>
  <r>
    <x v="1"/>
    <n v="1445111.99"/>
    <n v="107952.9"/>
    <n v="94640"/>
    <n v="387174.99"/>
    <n v="0.1902692113698623"/>
    <n v="1647704.89"/>
    <n v="0.8097307886301377"/>
  </r>
  <r>
    <x v="3"/>
    <n v="1579216.99"/>
    <n v="50958.9"/>
    <n v="97575"/>
    <n v="1589647.99"/>
    <n v="0.47918506260543503"/>
    <n v="1727750.89"/>
    <n v="0.52081493739456497"/>
  </r>
  <r>
    <x v="9"/>
    <n v="1116497.99"/>
    <n v="110053.9"/>
    <n v="82921"/>
    <n v="134901.99"/>
    <n v="9.3398183441129906E-2"/>
    <n v="1309472.8899999999"/>
    <n v="0.90660181655887007"/>
  </r>
  <r>
    <x v="10"/>
    <n v="709772.99"/>
    <n v="95324.9"/>
    <n v="66426"/>
    <n v="233808.99"/>
    <n v="0.21152812354591316"/>
    <n v="871523.89"/>
    <n v="0.7884718764540869"/>
  </r>
  <r>
    <x v="11"/>
    <n v="1669163.99"/>
    <n v="67254.899999999994"/>
    <n v="71623"/>
    <n v="299413.99"/>
    <n v="0.1420736694141374"/>
    <n v="1808041.89"/>
    <n v="0.85792633058586265"/>
  </r>
  <r>
    <x v="12"/>
    <n v="1903510.99"/>
    <n v="79819.899999999994"/>
    <n v="101469"/>
    <n v="239037.99"/>
    <n v="0.10286345362439828"/>
    <n v="2084799.89"/>
    <n v="0.8971365463756017"/>
  </r>
  <r>
    <x v="13"/>
    <n v="1201179.99"/>
    <n v="52316.9"/>
    <n v="45498"/>
    <n v="1750393.99"/>
    <n v="0.57401468257469346"/>
    <n v="1298994.8899999999"/>
    <n v="0.42598531742530654"/>
  </r>
  <r>
    <x v="10"/>
    <n v="1654682.99"/>
    <n v="124855.9"/>
    <n v="56673"/>
    <n v="665469.99"/>
    <n v="0.26600903788774294"/>
    <n v="1836211.89"/>
    <n v="0.73399096211225701"/>
  </r>
  <r>
    <x v="3"/>
    <n v="1547195.99"/>
    <n v="55176.9"/>
    <n v="106472"/>
    <n v="419373.99"/>
    <n v="0.19705397501219424"/>
    <n v="1708844.89"/>
    <n v="0.80294602498780576"/>
  </r>
  <r>
    <x v="14"/>
    <n v="1346495.99"/>
    <n v="89709.9"/>
    <n v="51718"/>
    <n v="2232578.9900000002"/>
    <n v="0.60007452272150918"/>
    <n v="1487923.89"/>
    <n v="0.39992547727849087"/>
  </r>
  <r>
    <x v="15"/>
    <n v="1832172.99"/>
    <n v="59523.9"/>
    <n v="67418"/>
    <n v="2245508.9900000002"/>
    <n v="0.53405704150640942"/>
    <n v="1959114.89"/>
    <n v="0.46594295849359063"/>
  </r>
  <r>
    <x v="16"/>
    <n v="117151.989999999"/>
    <n v="121389.9"/>
    <n v="33288"/>
    <n v="858384.99"/>
    <n v="0.75948831075379297"/>
    <n v="271829.88999999897"/>
    <n v="0.24051168924620708"/>
  </r>
  <r>
    <x v="7"/>
    <n v="1295519.99"/>
    <n v="106251.9"/>
    <n v="37622"/>
    <n v="2388580.9900000002"/>
    <n v="0.62398031984995683"/>
    <n v="1439393.89"/>
    <n v="0.37601968015004317"/>
  </r>
  <r>
    <x v="17"/>
    <n v="1711575.99"/>
    <n v="97299.9"/>
    <n v="79083"/>
    <n v="1662113.99"/>
    <n v="0.46819151216974453"/>
    <n v="1887958.89"/>
    <n v="0.53180848783025547"/>
  </r>
  <r>
    <x v="3"/>
    <n v="1800584.99"/>
    <n v="131206.9"/>
    <n v="96302"/>
    <n v="2212633.9900000002"/>
    <n v="0.52175806904167599"/>
    <n v="2028093.89"/>
    <n v="0.47824193095832407"/>
  </r>
  <r>
    <x v="12"/>
    <n v="58249.99"/>
    <n v="121450.9"/>
    <n v="63779"/>
    <n v="2773107.99"/>
    <n v="0.91928632624486972"/>
    <n v="243479.88999999998"/>
    <n v="8.0713673755130236E-2"/>
  </r>
  <r>
    <x v="10"/>
    <n v="1662821.99"/>
    <n v="111347.9"/>
    <n v="78968"/>
    <n v="2758380.99"/>
    <n v="0.59815021076092834"/>
    <n v="1853137.89"/>
    <n v="0.40184978923907172"/>
  </r>
  <r>
    <x v="12"/>
    <n v="1984216.99"/>
    <n v="134284.9"/>
    <n v="42129"/>
    <n v="2385104.9900000002"/>
    <n v="0.52469062280846812"/>
    <n v="2160630.89"/>
    <n v="0.47530937719153182"/>
  </r>
  <r>
    <x v="10"/>
    <n v="1512091.99"/>
    <n v="85478.9"/>
    <n v="119854"/>
    <n v="1174263.99"/>
    <n v="0.40608241022111619"/>
    <n v="1717424.89"/>
    <n v="0.59391758977888376"/>
  </r>
  <r>
    <x v="13"/>
    <n v="1654271.99"/>
    <n v="68951.899999999994"/>
    <n v="66941"/>
    <n v="1993485.99"/>
    <n v="0.52686837481157878"/>
    <n v="1790164.89"/>
    <n v="0.47313162518842117"/>
  </r>
  <r>
    <x v="18"/>
    <n v="1537783.99"/>
    <n v="116063.9"/>
    <n v="33838"/>
    <n v="2933777.99"/>
    <n v="0.63481573505233158"/>
    <n v="1687685.89"/>
    <n v="0.36518426494766848"/>
  </r>
  <r>
    <x v="19"/>
    <n v="1582837.99"/>
    <n v="132460.9"/>
    <n v="105686"/>
    <n v="2691899.99"/>
    <n v="0.59649205809123151"/>
    <n v="1820984.89"/>
    <n v="0.40350794190876854"/>
  </r>
  <r>
    <x v="20"/>
    <n v="1848578.99"/>
    <n v="125606.9"/>
    <n v="75807"/>
    <n v="1015504.99"/>
    <n v="0.33126918685065282"/>
    <n v="2049992.89"/>
    <n v="0.66873081314934724"/>
  </r>
  <r>
    <x v="21"/>
    <n v="428588.99"/>
    <n v="121691.9"/>
    <n v="94738"/>
    <n v="970840.99"/>
    <n v="0.60082003521245919"/>
    <n v="645018.89"/>
    <n v="0.39917996478754092"/>
  </r>
  <r>
    <x v="22"/>
    <n v="1912041.99"/>
    <n v="132439.9"/>
    <n v="81226"/>
    <n v="1637394.99"/>
    <n v="0.43511831651012423"/>
    <n v="2125707.8899999997"/>
    <n v="0.56488168348987566"/>
  </r>
  <r>
    <x v="7"/>
    <n v="1021268.99"/>
    <n v="81241.899999999994"/>
    <n v="79473"/>
    <n v="586863.99"/>
    <n v="0.33177753532994597"/>
    <n v="1181983.8899999999"/>
    <n v="0.66822246467005408"/>
  </r>
  <r>
    <x v="23"/>
    <n v="376431.99"/>
    <n v="71866.899999999994"/>
    <n v="69615"/>
    <n v="859121.99"/>
    <n v="0.62389223293150509"/>
    <n v="517913.89"/>
    <n v="0.37610776706849502"/>
  </r>
  <r>
    <x v="23"/>
    <n v="1127721.99"/>
    <n v="61467.9"/>
    <n v="112405"/>
    <n v="1655145.99"/>
    <n v="0.55978729864214549"/>
    <n v="1301594.8899999999"/>
    <n v="0.44021270135785451"/>
  </r>
  <r>
    <x v="3"/>
    <n v="1757511.99"/>
    <n v="61351.9"/>
    <n v="69894"/>
    <n v="1484078.99"/>
    <n v="0.44000912074941495"/>
    <n v="1888757.89"/>
    <n v="0.55999087925058499"/>
  </r>
  <r>
    <x v="24"/>
    <n v="1172907.99"/>
    <n v="68409.899999999994"/>
    <n v="101154"/>
    <n v="2167641.9900000002"/>
    <n v="0.61754178471269439"/>
    <n v="1342471.89"/>
    <n v="0.38245821528730573"/>
  </r>
  <r>
    <x v="25"/>
    <n v="1506211.99"/>
    <n v="96731.9"/>
    <n v="50984"/>
    <n v="2589110.9900000002"/>
    <n v="0.61020204226834718"/>
    <n v="1653927.89"/>
    <n v="0.38979795773165293"/>
  </r>
  <r>
    <x v="26"/>
    <n v="782843.99"/>
    <n v="122917.9"/>
    <n v="44988"/>
    <n v="359006.99"/>
    <n v="0.27410200738934087"/>
    <n v="950749.89"/>
    <n v="0.72589799261065924"/>
  </r>
  <r>
    <x v="13"/>
    <n v="1924554.99"/>
    <n v="53382.9"/>
    <n v="76287"/>
    <n v="2524464.9900000002"/>
    <n v="0.55135094451952715"/>
    <n v="2054224.89"/>
    <n v="0.44864905548047296"/>
  </r>
  <r>
    <x v="27"/>
    <n v="786949.99"/>
    <n v="86226.9"/>
    <n v="117927"/>
    <n v="520897.99"/>
    <n v="0.34450882428796981"/>
    <n v="991103.89"/>
    <n v="0.65549117571203031"/>
  </r>
  <r>
    <x v="4"/>
    <n v="596736.99"/>
    <n v="54828.9"/>
    <n v="116991"/>
    <n v="87874.99"/>
    <n v="0.10260593054989967"/>
    <n v="768556.89"/>
    <n v="0.89739406945010036"/>
  </r>
  <r>
    <x v="6"/>
    <n v="661071.99"/>
    <n v="61617.9"/>
    <n v="30590"/>
    <n v="1736189.99"/>
    <n v="0.69741353528647632"/>
    <n v="753279.89"/>
    <n v="0.30258646471352368"/>
  </r>
  <r>
    <x v="3"/>
    <n v="1277692.99"/>
    <n v="84839.9"/>
    <n v="77094"/>
    <n v="2618856.9900000002"/>
    <n v="0.64527963333933469"/>
    <n v="1439626.89"/>
    <n v="0.35472036666066542"/>
  </r>
  <r>
    <x v="13"/>
    <n v="76770.989999999903"/>
    <n v="122173.9"/>
    <n v="113358"/>
    <n v="1259190.99"/>
    <n v="0.80127005648917959"/>
    <n v="312302.8899999999"/>
    <n v="0.19872994351082038"/>
  </r>
  <r>
    <x v="6"/>
    <n v="1237607.99"/>
    <n v="94379.9"/>
    <n v="71075"/>
    <n v="2256555.9900000002"/>
    <n v="0.61660956072015904"/>
    <n v="1403062.89"/>
    <n v="0.38339043927984107"/>
  </r>
  <r>
    <x v="10"/>
    <n v="893005.99"/>
    <n v="53014.9"/>
    <n v="73197"/>
    <n v="629490.99"/>
    <n v="0.38180845486802983"/>
    <n v="1019217.89"/>
    <n v="0.61819154513197028"/>
  </r>
  <r>
    <x v="16"/>
    <n v="1149973.99"/>
    <n v="80906.899999999994"/>
    <n v="94419"/>
    <n v="2564107.9900000002"/>
    <n v="0.6592540739131737"/>
    <n v="1325299.8899999999"/>
    <n v="0.34074592608682636"/>
  </r>
  <r>
    <x v="21"/>
    <n v="991833.99"/>
    <n v="66858.899999999994"/>
    <n v="65021"/>
    <n v="1662457.99"/>
    <n v="0.59668177757935026"/>
    <n v="1123713.8899999999"/>
    <n v="0.4033182224206498"/>
  </r>
  <r>
    <x v="27"/>
    <n v="814532.99"/>
    <n v="86203.9"/>
    <n v="100677"/>
    <n v="954222.99"/>
    <n v="0.48793464664053587"/>
    <n v="1001413.89"/>
    <n v="0.51206535335946424"/>
  </r>
  <r>
    <x v="25"/>
    <n v="868495.99"/>
    <n v="105685.9"/>
    <n v="64005"/>
    <n v="765640.99"/>
    <n v="0.42445346282151936"/>
    <n v="1038186.89"/>
    <n v="0.5755465371784807"/>
  </r>
  <r>
    <x v="5"/>
    <n v="1510231.99"/>
    <n v="60037.9"/>
    <n v="44028"/>
    <n v="721738.99"/>
    <n v="0.30895873099400728"/>
    <n v="1614297.89"/>
    <n v="0.69104126900599272"/>
  </r>
  <r>
    <x v="28"/>
    <n v="1539046.99"/>
    <n v="131664.9"/>
    <n v="69861"/>
    <n v="2838170.99"/>
    <n v="0.61985799258114438"/>
    <n v="1740572.89"/>
    <n v="0.38014200741885568"/>
  </r>
  <r>
    <x v="12"/>
    <n v="1563426.99"/>
    <n v="72092.899999999994"/>
    <n v="30545"/>
    <n v="2159484.9900000002"/>
    <n v="0.56449008841573389"/>
    <n v="1666064.89"/>
    <n v="0.43550991158426616"/>
  </r>
  <r>
    <x v="28"/>
    <n v="408464.99"/>
    <n v="87226.9"/>
    <n v="81616"/>
    <n v="1250949.99"/>
    <n v="0.684230602085522"/>
    <n v="577307.89"/>
    <n v="0.31576939791447806"/>
  </r>
  <r>
    <x v="29"/>
    <n v="989534.99"/>
    <n v="73696.899999999994"/>
    <n v="59152"/>
    <n v="1397050.99"/>
    <n v="0.55450966448475936"/>
    <n v="1122383.8899999999"/>
    <n v="0.44549033551524059"/>
  </r>
  <r>
    <x v="13"/>
    <n v="1706659.99"/>
    <n v="137048.9"/>
    <n v="90330"/>
    <n v="542567.99"/>
    <n v="0.21907715527302421"/>
    <n v="1934038.89"/>
    <n v="0.78092284472697582"/>
  </r>
  <r>
    <x v="23"/>
    <n v="1090234.99"/>
    <n v="112746.9"/>
    <n v="55117"/>
    <n v="411626.99"/>
    <n v="0.24652369285909376"/>
    <n v="1258098.8899999999"/>
    <n v="0.7534763071409063"/>
  </r>
  <r>
    <x v="25"/>
    <n v="1240265.99"/>
    <n v="58710.9"/>
    <n v="69532"/>
    <n v="2227867.9900000002"/>
    <n v="0.6194756735284096"/>
    <n v="1368508.89"/>
    <n v="0.38052432647159046"/>
  </r>
  <r>
    <x v="7"/>
    <n v="517737.99"/>
    <n v="70400.899999999994"/>
    <n v="30541"/>
    <n v="946537.99"/>
    <n v="0.60473241591132354"/>
    <n v="618679.89"/>
    <n v="0.39526758408867657"/>
  </r>
  <r>
    <x v="10"/>
    <n v="988486.99"/>
    <n v="131645.9"/>
    <n v="36296"/>
    <n v="917606.99"/>
    <n v="0.44242580316402241"/>
    <n v="1156428.8899999999"/>
    <n v="0.55757419683597753"/>
  </r>
  <r>
    <x v="30"/>
    <n v="771423.99"/>
    <n v="129046.9"/>
    <n v="40614"/>
    <n v="2942282.99"/>
    <n v="0.75766269921354967"/>
    <n v="941084.89"/>
    <n v="0.24233730078645033"/>
  </r>
  <r>
    <x v="31"/>
    <n v="1898414.99"/>
    <n v="115191.9"/>
    <n v="87803"/>
    <n v="1951631.99"/>
    <n v="0.48152277913299035"/>
    <n v="2101409.8899999997"/>
    <n v="0.51847722086700954"/>
  </r>
  <r>
    <x v="25"/>
    <n v="182561.99"/>
    <n v="86746.9"/>
    <n v="88238"/>
    <n v="2311956.9900000002"/>
    <n v="0.86606241980813303"/>
    <n v="357546.89"/>
    <n v="0.13393758019186694"/>
  </r>
  <r>
    <x v="19"/>
    <n v="972534.99"/>
    <n v="57447.9"/>
    <n v="65000"/>
    <n v="2922433.99"/>
    <n v="0.72744105909168177"/>
    <n v="1094982.8900000001"/>
    <n v="0.27255894090831817"/>
  </r>
  <r>
    <x v="22"/>
    <n v="1975518.99"/>
    <n v="69304.899999999994"/>
    <n v="106660"/>
    <n v="826946.99"/>
    <n v="0.27764518409774208"/>
    <n v="2151483.8899999997"/>
    <n v="0.72235481590225781"/>
  </r>
  <r>
    <x v="32"/>
    <n v="426133.99"/>
    <n v="126042.9"/>
    <n v="41114"/>
    <n v="1713378.99"/>
    <n v="0.74279332506825813"/>
    <n v="593290.89"/>
    <n v="0.25720667493174187"/>
  </r>
  <r>
    <x v="33"/>
    <n v="367596.99"/>
    <n v="52725.9"/>
    <n v="78616"/>
    <n v="1813370.99"/>
    <n v="0.78422490241662601"/>
    <n v="498938.89"/>
    <n v="0.2157750975833741"/>
  </r>
  <r>
    <x v="28"/>
    <n v="1789337.99"/>
    <n v="60721.9"/>
    <n v="117914"/>
    <n v="2691584.99"/>
    <n v="0.5776480262011412"/>
    <n v="1967973.89"/>
    <n v="0.4223519737988588"/>
  </r>
  <r>
    <x v="28"/>
    <n v="1926104.99"/>
    <n v="125226.9"/>
    <n v="116396"/>
    <n v="2123716.9900000002"/>
    <n v="0.49487225151077796"/>
    <n v="2167727.8899999997"/>
    <n v="0.50512774848922204"/>
  </r>
  <r>
    <x v="25"/>
    <n v="1769588.99"/>
    <n v="129933.9"/>
    <n v="119419"/>
    <n v="1799251.99"/>
    <n v="0.47123117540589637"/>
    <n v="2018941.89"/>
    <n v="0.52876882459410368"/>
  </r>
  <r>
    <x v="34"/>
    <n v="327306.99"/>
    <n v="70991.899999999994"/>
    <n v="84270"/>
    <n v="2239061.9900000002"/>
    <n v="0.82269127913481055"/>
    <n v="482568.89"/>
    <n v="0.17730872086518945"/>
  </r>
  <r>
    <x v="4"/>
    <n v="1768614.99"/>
    <n v="52141.9"/>
    <n v="41442"/>
    <n v="731798.99"/>
    <n v="0.28211240866549975"/>
    <n v="1862198.89"/>
    <n v="0.7178875913345002"/>
  </r>
  <r>
    <x v="28"/>
    <n v="622877.99"/>
    <n v="102675.9"/>
    <n v="74392"/>
    <n v="2591338.9900000002"/>
    <n v="0.76411716552694919"/>
    <n v="799945.89"/>
    <n v="0.23588283447305081"/>
  </r>
  <r>
    <x v="17"/>
    <n v="1564927.99"/>
    <n v="129550.9"/>
    <n v="54807"/>
    <n v="2377103.9900000002"/>
    <n v="0.57607353137459716"/>
    <n v="1749285.89"/>
    <n v="0.4239264686254029"/>
  </r>
  <r>
    <x v="14"/>
    <n v="1542921.99"/>
    <n v="59358.9"/>
    <n v="51112"/>
    <n v="2535064.9900000002"/>
    <n v="0.60525020487970149"/>
    <n v="1653392.89"/>
    <n v="0.39474979512029851"/>
  </r>
  <r>
    <x v="31"/>
    <n v="767013.99"/>
    <n v="125165.9"/>
    <n v="62271"/>
    <n v="491939.99"/>
    <n v="0.34011552257575078"/>
    <n v="954450.89"/>
    <n v="0.65988447742424927"/>
  </r>
  <r>
    <x v="31"/>
    <n v="1281757.99"/>
    <n v="117275.9"/>
    <n v="87831"/>
    <n v="2946679.99"/>
    <n v="0.66463294491337155"/>
    <n v="1486864.89"/>
    <n v="0.33536705508662856"/>
  </r>
  <r>
    <x v="13"/>
    <n v="971653.99"/>
    <n v="72463.899999999994"/>
    <n v="66502"/>
    <n v="352955.99"/>
    <n v="0.24116002103013612"/>
    <n v="1110619.8900000001"/>
    <n v="0.75883997896986388"/>
  </r>
  <r>
    <x v="23"/>
    <n v="963763.99"/>
    <n v="101418.9"/>
    <n v="47123"/>
    <n v="1247023.99"/>
    <n v="0.52855007710918323"/>
    <n v="1112305.8899999999"/>
    <n v="0.47144992289081677"/>
  </r>
  <r>
    <x v="23"/>
    <n v="675145.99"/>
    <n v="87898.9"/>
    <n v="101996"/>
    <n v="250970.99"/>
    <n v="0.22488200573635472"/>
    <n v="865040.89"/>
    <n v="0.77511799426364536"/>
  </r>
  <r>
    <x v="31"/>
    <n v="377619.99"/>
    <n v="128096.9"/>
    <n v="93521"/>
    <n v="934324.99"/>
    <n v="0.60925117723245892"/>
    <n v="599237.89"/>
    <n v="0.39074882276754119"/>
  </r>
  <r>
    <x v="20"/>
    <n v="1530310.99"/>
    <n v="83764.899999999994"/>
    <n v="92229"/>
    <n v="2339715.9900000002"/>
    <n v="0.57827580711842508"/>
    <n v="1706304.89"/>
    <n v="0.42172419288157503"/>
  </r>
  <r>
    <x v="5"/>
    <n v="189440.99"/>
    <n v="134720.9"/>
    <n v="54263"/>
    <n v="2024263.99"/>
    <n v="0.8424994208988057"/>
    <n v="378424.89"/>
    <n v="0.15750057910119433"/>
  </r>
  <r>
    <x v="32"/>
    <n v="1325060.99"/>
    <n v="117884.9"/>
    <n v="69464"/>
    <n v="1133511.99"/>
    <n v="0.42839964345432602"/>
    <n v="1512409.89"/>
    <n v="0.57160035654567398"/>
  </r>
  <r>
    <x v="32"/>
    <n v="905087.99"/>
    <n v="105388.9"/>
    <n v="116151"/>
    <n v="1513242.99"/>
    <n v="0.57322613824203406"/>
    <n v="1126627.8900000001"/>
    <n v="0.42677386175796606"/>
  </r>
  <r>
    <x v="35"/>
    <n v="1205687.99"/>
    <n v="132886.9"/>
    <n v="62168"/>
    <n v="357061.99"/>
    <n v="0.20312947930830641"/>
    <n v="1400742.89"/>
    <n v="0.79687052069169362"/>
  </r>
  <r>
    <x v="31"/>
    <n v="1831011.99"/>
    <n v="71497.899999999994"/>
    <n v="99314"/>
    <n v="2409781.9900000002"/>
    <n v="0.54623691588696499"/>
    <n v="2001823.89"/>
    <n v="0.45376308411303501"/>
  </r>
  <r>
    <x v="18"/>
    <n v="353425.99"/>
    <n v="61483.9"/>
    <n v="83905"/>
    <n v="2499388.9900000002"/>
    <n v="0.83362876243092576"/>
    <n v="498814.89"/>
    <n v="0.16637123756907418"/>
  </r>
  <r>
    <x v="36"/>
    <n v="1471579.99"/>
    <n v="134480.9"/>
    <n v="100528"/>
    <n v="134441.99"/>
    <n v="7.3025385646980565E-2"/>
    <n v="1706588.89"/>
    <n v="0.92697461435301942"/>
  </r>
  <r>
    <x v="37"/>
    <n v="1869665.99"/>
    <n v="139938.9"/>
    <n v="118554"/>
    <n v="1896355.99"/>
    <n v="0.47120113766357846"/>
    <n v="2128158.8899999997"/>
    <n v="0.52879886233642148"/>
  </r>
  <r>
    <x v="5"/>
    <n v="131883.99"/>
    <n v="87447.9"/>
    <n v="113439"/>
    <n v="2782326.99"/>
    <n v="0.89317482056133657"/>
    <n v="332770.89"/>
    <n v="0.1068251794386634"/>
  </r>
  <r>
    <x v="11"/>
    <n v="634362.99"/>
    <n v="86621.9"/>
    <n v="108704"/>
    <n v="2184118.9900000002"/>
    <n v="0.72470412082139757"/>
    <n v="829688.89"/>
    <n v="0.27529587917860243"/>
  </r>
  <r>
    <x v="21"/>
    <n v="1874331.99"/>
    <n v="111443.9"/>
    <n v="118292"/>
    <n v="1831174.99"/>
    <n v="0.46532705752586229"/>
    <n v="2104067.8899999997"/>
    <n v="0.53467294247413766"/>
  </r>
  <r>
    <x v="38"/>
    <n v="1674670.99"/>
    <n v="107310.9"/>
    <n v="50052"/>
    <n v="1867711.99"/>
    <n v="0.50482169602416049"/>
    <n v="1832033.89"/>
    <n v="0.49517830397583956"/>
  </r>
  <r>
    <x v="2"/>
    <n v="287764.99"/>
    <n v="87968.9"/>
    <n v="89616"/>
    <n v="347593.99"/>
    <n v="0.42757439787848578"/>
    <n v="465349.89"/>
    <n v="0.57242560212151428"/>
  </r>
  <r>
    <x v="39"/>
    <n v="193521.99"/>
    <n v="85399.9"/>
    <n v="32638"/>
    <n v="635061.99"/>
    <n v="0.67087186913532992"/>
    <n v="311559.89"/>
    <n v="0.32912813086467008"/>
  </r>
  <r>
    <x v="27"/>
    <n v="1161310.99"/>
    <n v="50764.9"/>
    <n v="64134"/>
    <n v="1283606.99"/>
    <n v="0.50144484944563694"/>
    <n v="1276209.8899999999"/>
    <n v="0.49855515055436306"/>
  </r>
  <r>
    <x v="6"/>
    <n v="1314588.99"/>
    <n v="100486.9"/>
    <n v="103424"/>
    <n v="2177681.9900000002"/>
    <n v="0.58917067955541202"/>
    <n v="1518499.89"/>
    <n v="0.41082932044458809"/>
  </r>
  <r>
    <x v="18"/>
    <n v="1227466.99"/>
    <n v="137328.9"/>
    <n v="102111"/>
    <n v="2472614.9900000002"/>
    <n v="0.62764342103362059"/>
    <n v="1466906.89"/>
    <n v="0.37235657896637953"/>
  </r>
  <r>
    <x v="2"/>
    <n v="327099.99"/>
    <n v="70852.899999999994"/>
    <n v="30228"/>
    <n v="2882523.99"/>
    <n v="0.87066775640841776"/>
    <n v="428180.89"/>
    <n v="0.12933224359158221"/>
  </r>
  <r>
    <x v="6"/>
    <n v="1420846.99"/>
    <n v="79539.899999999994"/>
    <n v="63485"/>
    <n v="471661.99"/>
    <n v="0.23171414371152596"/>
    <n v="1563871.89"/>
    <n v="0.76828585628847401"/>
  </r>
  <r>
    <x v="13"/>
    <n v="1811520.99"/>
    <n v="106189.9"/>
    <n v="98677"/>
    <n v="604010.99"/>
    <n v="0.23050345297048822"/>
    <n v="2016387.89"/>
    <n v="0.76949654702951176"/>
  </r>
  <r>
    <x v="28"/>
    <n v="1129652.99"/>
    <n v="82978.899999999994"/>
    <n v="55502"/>
    <n v="2096818.99"/>
    <n v="0.62313472573797235"/>
    <n v="1268133.8899999999"/>
    <n v="0.37686527426202771"/>
  </r>
  <r>
    <x v="40"/>
    <n v="353912.99"/>
    <n v="115229.9"/>
    <n v="101595"/>
    <n v="2161510.9900000002"/>
    <n v="0.79111057774502591"/>
    <n v="570737.89"/>
    <n v="0.20888942225497406"/>
  </r>
  <r>
    <x v="4"/>
    <n v="1530299.99"/>
    <n v="138623.9"/>
    <n v="111387"/>
    <n v="1637569.99"/>
    <n v="0.47911850865908473"/>
    <n v="1780310.89"/>
    <n v="0.52088149134091533"/>
  </r>
  <r>
    <x v="39"/>
    <n v="349663.99"/>
    <n v="85435.9"/>
    <n v="55477"/>
    <n v="606532.99"/>
    <n v="0.55284616523551866"/>
    <n v="490576.89"/>
    <n v="0.44715383476448145"/>
  </r>
  <r>
    <x v="35"/>
    <n v="454836.99"/>
    <n v="89803.9"/>
    <n v="114574"/>
    <n v="695176.99"/>
    <n v="0.51327610587860295"/>
    <n v="659214.89"/>
    <n v="0.48672389412139716"/>
  </r>
  <r>
    <x v="38"/>
    <n v="1774454.99"/>
    <n v="66246.899999999994"/>
    <n v="105008"/>
    <n v="2193925.9900000002"/>
    <n v="0.52998042668429091"/>
    <n v="1945709.89"/>
    <n v="0.47001957331570909"/>
  </r>
  <r>
    <x v="11"/>
    <n v="430766.99"/>
    <n v="72450.899999999994"/>
    <n v="77167"/>
    <n v="2622572.9900000002"/>
    <n v="0.81879721440483011"/>
    <n v="580384.89"/>
    <n v="0.18120278559516992"/>
  </r>
  <r>
    <x v="10"/>
    <n v="682450.99"/>
    <n v="119982.9"/>
    <n v="90778"/>
    <n v="1470792.99"/>
    <n v="0.62216157100318681"/>
    <n v="893211.89"/>
    <n v="0.37783842899681325"/>
  </r>
  <r>
    <x v="37"/>
    <n v="1873452.99"/>
    <n v="68891.899999999994"/>
    <n v="100048"/>
    <n v="547389.99"/>
    <n v="0.21136520525612557"/>
    <n v="2042392.89"/>
    <n v="0.78863479474387443"/>
  </r>
  <r>
    <x v="38"/>
    <n v="1565000.99"/>
    <n v="106917.9"/>
    <n v="53272"/>
    <n v="159162.99"/>
    <n v="8.4465551661665583E-2"/>
    <n v="1725190.89"/>
    <n v="0.91553444833833442"/>
  </r>
  <r>
    <x v="35"/>
    <n v="91257.989999999903"/>
    <n v="83779.899999999994"/>
    <n v="40363"/>
    <n v="2809075.99"/>
    <n v="0.92878077811591675"/>
    <n v="215400.8899999999"/>
    <n v="7.1219221884083278E-2"/>
  </r>
  <r>
    <x v="3"/>
    <n v="1088269.99"/>
    <n v="78661.899999999994"/>
    <n v="101603"/>
    <n v="190797.99"/>
    <n v="0.1307432955255555"/>
    <n v="1268534.8899999999"/>
    <n v="0.86925670447444447"/>
  </r>
  <r>
    <x v="19"/>
    <n v="255860.99"/>
    <n v="88379.9"/>
    <n v="57737"/>
    <n v="2715928.99"/>
    <n v="0.87107444017058"/>
    <n v="401977.89"/>
    <n v="0.12892555982941992"/>
  </r>
  <r>
    <x v="35"/>
    <n v="1744185.99"/>
    <n v="82986.899999999994"/>
    <n v="92040"/>
    <n v="2422168.9900000002"/>
    <n v="0.55792580725471685"/>
    <n v="1919212.89"/>
    <n v="0.4420741927452832"/>
  </r>
  <r>
    <x v="40"/>
    <n v="1220381.99"/>
    <n v="87364.9"/>
    <n v="34147"/>
    <n v="1153192.99"/>
    <n v="0.4621855051396046"/>
    <n v="1341893.8899999999"/>
    <n v="0.53781449486039534"/>
  </r>
  <r>
    <x v="31"/>
    <n v="1414192.99"/>
    <n v="59725.9"/>
    <n v="38668"/>
    <n v="109651.99"/>
    <n v="6.7592998387512454E-2"/>
    <n v="1512586.89"/>
    <n v="0.93240700161248757"/>
  </r>
  <r>
    <x v="9"/>
    <n v="207272.99"/>
    <n v="87555.9"/>
    <n v="66206"/>
    <n v="1353015.99"/>
    <n v="0.78936746031716398"/>
    <n v="361034.89"/>
    <n v="0.21063253968283605"/>
  </r>
  <r>
    <x v="38"/>
    <n v="943395.99"/>
    <n v="110586.9"/>
    <n v="118280"/>
    <n v="1141042.99"/>
    <n v="0.49325210291688709"/>
    <n v="1172262.8899999999"/>
    <n v="0.50674789708311296"/>
  </r>
  <r>
    <x v="7"/>
    <n v="484931.99"/>
    <n v="126954.9"/>
    <n v="119115"/>
    <n v="2091288.99"/>
    <n v="0.74098988336737281"/>
    <n v="731001.89"/>
    <n v="0.25901011663262719"/>
  </r>
  <r>
    <x v="3"/>
    <n v="1651177.99"/>
    <n v="51157.9"/>
    <n v="45636"/>
    <n v="2437672.9900000002"/>
    <n v="0.5823888695497742"/>
    <n v="1747971.89"/>
    <n v="0.41761113045022585"/>
  </r>
  <r>
    <x v="8"/>
    <n v="280581.99"/>
    <n v="84113.9"/>
    <n v="54340"/>
    <n v="1922351.99"/>
    <n v="0.82103098184654488"/>
    <n v="419035.89"/>
    <n v="0.17896901815345523"/>
  </r>
  <r>
    <x v="5"/>
    <n v="327095.99"/>
    <n v="109810.9"/>
    <n v="70987"/>
    <n v="1016701.99"/>
    <n v="0.66686654695669256"/>
    <n v="507893.89"/>
    <n v="0.33313345304330749"/>
  </r>
  <r>
    <x v="14"/>
    <n v="577258.99"/>
    <n v="110489.9"/>
    <n v="106890"/>
    <n v="1081279.99"/>
    <n v="0.57640018527880055"/>
    <n v="794638.89"/>
    <n v="0.42359981472119951"/>
  </r>
  <r>
    <x v="8"/>
    <n v="62911.99"/>
    <n v="124929.9"/>
    <n v="111495"/>
    <n v="2414626.9900000002"/>
    <n v="0.889704910147883"/>
    <n v="299336.89"/>
    <n v="0.11029508985211696"/>
  </r>
  <r>
    <x v="24"/>
    <n v="1155299.99"/>
    <n v="51488.9"/>
    <n v="93013"/>
    <n v="2102288.9900000002"/>
    <n v="0.61794027971410348"/>
    <n v="1299801.8899999999"/>
    <n v="0.38205972028589663"/>
  </r>
  <r>
    <x v="5"/>
    <n v="1852246.99"/>
    <n v="94551.9"/>
    <n v="62784"/>
    <n v="1166211.99"/>
    <n v="0.36721892756499436"/>
    <n v="2009582.89"/>
    <n v="0.63278107243500559"/>
  </r>
  <r>
    <x v="36"/>
    <n v="413494.99"/>
    <n v="120804.9"/>
    <n v="76250"/>
    <n v="931177.99"/>
    <n v="0.60398336313409606"/>
    <n v="610549.89"/>
    <n v="0.39601663686590405"/>
  </r>
  <r>
    <x v="27"/>
    <n v="1477955.99"/>
    <n v="90880.9"/>
    <n v="115352"/>
    <n v="913819.99"/>
    <n v="0.35173859374953331"/>
    <n v="1684188.89"/>
    <n v="0.64826140625046669"/>
  </r>
  <r>
    <x v="37"/>
    <n v="285488.99"/>
    <n v="133076.9"/>
    <n v="113758"/>
    <n v="2566559.9900000002"/>
    <n v="0.82822076895633789"/>
    <n v="532323.89"/>
    <n v="0.17177923104366208"/>
  </r>
  <r>
    <x v="2"/>
    <n v="1789158.99"/>
    <n v="139687.9"/>
    <n v="113419"/>
    <n v="1626092.99"/>
    <n v="0.44327532915754414"/>
    <n v="2042265.89"/>
    <n v="0.5567246708424558"/>
  </r>
  <r>
    <x v="2"/>
    <n v="871738.99"/>
    <n v="56653.9"/>
    <n v="112820"/>
    <n v="1154271.99"/>
    <n v="0.52574809351454066"/>
    <n v="1041212.89"/>
    <n v="0.4742519064854594"/>
  </r>
  <r>
    <x v="28"/>
    <n v="131039.989999999"/>
    <n v="88689.9"/>
    <n v="111461"/>
    <n v="2106641.9900000002"/>
    <n v="0.86414536750361703"/>
    <n v="331190.88999999897"/>
    <n v="0.13585463249638305"/>
  </r>
  <r>
    <x v="36"/>
    <n v="1797174.99"/>
    <n v="56289.9"/>
    <n v="112087"/>
    <n v="1340507.99"/>
    <n v="0.40546996686581493"/>
    <n v="1965551.89"/>
    <n v="0.59453003313418507"/>
  </r>
  <r>
    <x v="18"/>
    <n v="85781.989999999903"/>
    <n v="72137.899999999994"/>
    <n v="91081"/>
    <n v="786225.99"/>
    <n v="0.75947215551435454"/>
    <n v="249000.8899999999"/>
    <n v="0.24052784448564543"/>
  </r>
  <r>
    <x v="21"/>
    <n v="993777.99"/>
    <n v="133429.9"/>
    <n v="119502"/>
    <n v="419013.99"/>
    <n v="0.25155068918145068"/>
    <n v="1246709.8899999999"/>
    <n v="0.74844931081854937"/>
  </r>
  <r>
    <x v="1"/>
    <n v="850264.99"/>
    <n v="61500.9"/>
    <n v="50228"/>
    <n v="2571920.9900000002"/>
    <n v="0.7277823822400612"/>
    <n v="961993.89"/>
    <n v="0.2722176177599388"/>
  </r>
  <r>
    <x v="23"/>
    <n v="965645.99"/>
    <n v="50416.9"/>
    <n v="31879"/>
    <n v="843320.99"/>
    <n v="0.44590363344941242"/>
    <n v="1047941.89"/>
    <n v="0.55409636655058769"/>
  </r>
  <r>
    <x v="8"/>
    <n v="1345684.99"/>
    <n v="116947.9"/>
    <n v="63356"/>
    <n v="82682.990000000005"/>
    <n v="5.1398293852193161E-2"/>
    <n v="1525988.89"/>
    <n v="0.94860170614780681"/>
  </r>
  <r>
    <x v="15"/>
    <n v="111268.989999999"/>
    <n v="77058.899999999994"/>
    <n v="109064"/>
    <n v="103346.99"/>
    <n v="0.25789109856273562"/>
    <n v="297391.88999999897"/>
    <n v="0.74210890143726449"/>
  </r>
  <r>
    <x v="34"/>
    <n v="1239880.99"/>
    <n v="113657.9"/>
    <n v="116146"/>
    <n v="1267055.99"/>
    <n v="0.46297988942234092"/>
    <n v="1469684.89"/>
    <n v="0.53702011057765908"/>
  </r>
  <r>
    <x v="7"/>
    <n v="1826475.99"/>
    <n v="77025.899999999994"/>
    <n v="52234"/>
    <n v="114604.99"/>
    <n v="5.5355613709371379E-2"/>
    <n v="1955735.89"/>
    <n v="0.94464438629062863"/>
  </r>
  <r>
    <x v="36"/>
    <n v="1979617.99"/>
    <n v="76381.899999999994"/>
    <n v="107252"/>
    <n v="1675559.99"/>
    <n v="0.43647879666351352"/>
    <n v="2163251.8899999997"/>
    <n v="0.56352120333648648"/>
  </r>
  <r>
    <x v="33"/>
    <n v="742430.99"/>
    <n v="57312.9"/>
    <n v="49261"/>
    <n v="585763.99"/>
    <n v="0.40826365707067752"/>
    <n v="849004.89"/>
    <n v="0.59173634292932253"/>
  </r>
  <r>
    <x v="36"/>
    <n v="822296.99"/>
    <n v="62994.9"/>
    <n v="59878"/>
    <n v="1883539.99"/>
    <n v="0.66586538383356586"/>
    <n v="945169.89"/>
    <n v="0.33413461616643414"/>
  </r>
  <r>
    <x v="14"/>
    <n v="739095.99"/>
    <n v="119197.9"/>
    <n v="107812"/>
    <n v="990322.99"/>
    <n v="0.50618910818777119"/>
    <n v="966105.89"/>
    <n v="0.49381089181222887"/>
  </r>
  <r>
    <x v="29"/>
    <n v="901313.99"/>
    <n v="87164.9"/>
    <n v="87977"/>
    <n v="120362.99"/>
    <n v="0.10056909362927162"/>
    <n v="1076455.8900000001"/>
    <n v="0.89943090637072842"/>
  </r>
  <r>
    <x v="19"/>
    <n v="142598.99"/>
    <n v="68585.899999999994"/>
    <n v="63917"/>
    <n v="730612.99"/>
    <n v="0.72646135055692918"/>
    <n v="275101.89"/>
    <n v="0.27353864944307077"/>
  </r>
  <r>
    <x v="32"/>
    <n v="1606788.99"/>
    <n v="120739.9"/>
    <n v="65992"/>
    <n v="2760666.99"/>
    <n v="0.60618205984071094"/>
    <n v="1793520.89"/>
    <n v="0.39381794015928917"/>
  </r>
  <r>
    <x v="10"/>
    <n v="1091617.99"/>
    <n v="136386.9"/>
    <n v="84006"/>
    <n v="2342700.9900000002"/>
    <n v="0.64100839325260306"/>
    <n v="1312010.8899999999"/>
    <n v="0.358991606747397"/>
  </r>
  <r>
    <x v="8"/>
    <n v="793672.99"/>
    <n v="105752.9"/>
    <n v="69551"/>
    <n v="1327523.99"/>
    <n v="0.57806378458692342"/>
    <n v="968976.89"/>
    <n v="0.42193621541307663"/>
  </r>
  <r>
    <x v="27"/>
    <n v="232702.99"/>
    <n v="121384.9"/>
    <n v="73714"/>
    <n v="549596.99"/>
    <n v="0.5623057292637782"/>
    <n v="427801.89"/>
    <n v="0.43769427073622186"/>
  </r>
  <r>
    <x v="34"/>
    <n v="239630.99"/>
    <n v="134743.9"/>
    <n v="87932"/>
    <n v="2188822.9900000002"/>
    <n v="0.82561892063922571"/>
    <n v="462306.89"/>
    <n v="0.17438107936077427"/>
  </r>
  <r>
    <x v="26"/>
    <n v="1652973.99"/>
    <n v="86389.9"/>
    <n v="77156"/>
    <n v="2219263.9900000002"/>
    <n v="0.54989663866738081"/>
    <n v="1816519.89"/>
    <n v="0.45010336133261919"/>
  </r>
  <r>
    <x v="20"/>
    <n v="1241406.99"/>
    <n v="114190.9"/>
    <n v="53182"/>
    <n v="988297.99"/>
    <n v="0.41229281628513464"/>
    <n v="1408779.89"/>
    <n v="0.5877071837148653"/>
  </r>
  <r>
    <x v="21"/>
    <n v="84190.989999999903"/>
    <n v="87091.9"/>
    <n v="40147"/>
    <n v="1319668.99"/>
    <n v="0.8619097089274862"/>
    <n v="211429.8899999999"/>
    <n v="0.13809029107251383"/>
  </r>
  <r>
    <x v="35"/>
    <n v="1836513.99"/>
    <n v="104613.9"/>
    <n v="43241"/>
    <n v="640116.99"/>
    <n v="0.24390186088560706"/>
    <n v="1984368.89"/>
    <n v="0.75609813911439294"/>
  </r>
  <r>
    <x v="17"/>
    <n v="517360.99"/>
    <n v="68450.899999999994"/>
    <n v="116944"/>
    <n v="1558528.99"/>
    <n v="0.68922275286252299"/>
    <n v="702755.89"/>
    <n v="0.31077724713747701"/>
  </r>
  <r>
    <x v="6"/>
    <n v="115854.989999999"/>
    <n v="138855.9"/>
    <n v="77127"/>
    <n v="694653.99"/>
    <n v="0.67672623966591994"/>
    <n v="331837.88999999897"/>
    <n v="0.32327376033408012"/>
  </r>
  <r>
    <x v="12"/>
    <n v="309817.99"/>
    <n v="103219.9"/>
    <n v="49460"/>
    <n v="417902.99"/>
    <n v="0.47467352599647561"/>
    <n v="462497.89"/>
    <n v="0.52532647400352439"/>
  </r>
  <r>
    <x v="17"/>
    <n v="113841.989999999"/>
    <n v="121760.9"/>
    <n v="96863"/>
    <n v="2139157.9900000002"/>
    <n v="0.86548685959451122"/>
    <n v="332465.88999999897"/>
    <n v="0.13451314040548884"/>
  </r>
  <r>
    <x v="40"/>
    <n v="944259.99"/>
    <n v="73430.899999999994"/>
    <n v="37715"/>
    <n v="2505853.9900000002"/>
    <n v="0.70364255191620551"/>
    <n v="1055405.8900000001"/>
    <n v="0.29635744808379444"/>
  </r>
  <r>
    <x v="10"/>
    <n v="1449131.99"/>
    <n v="88678.9"/>
    <n v="49148"/>
    <n v="2671311.9900000002"/>
    <n v="0.62732317066686949"/>
    <n v="1586958.89"/>
    <n v="0.37267682933313062"/>
  </r>
  <r>
    <x v="25"/>
    <n v="1157123.99"/>
    <n v="107896.9"/>
    <n v="60551"/>
    <n v="1594495.99"/>
    <n v="0.54604757681181026"/>
    <n v="1325571.8899999999"/>
    <n v="0.45395242318818968"/>
  </r>
  <r>
    <x v="5"/>
    <n v="1798229.99"/>
    <n v="135222.9"/>
    <n v="34782"/>
    <n v="129362.99"/>
    <n v="6.1671968318350902E-2"/>
    <n v="1968234.89"/>
    <n v="0.93832803168164913"/>
  </r>
  <r>
    <x v="1"/>
    <n v="1250414.99"/>
    <n v="59631.9"/>
    <n v="31931"/>
    <n v="2313890.9900000002"/>
    <n v="0.63292504899683388"/>
    <n v="1341977.8899999999"/>
    <n v="0.36707495100316617"/>
  </r>
  <r>
    <x v="24"/>
    <n v="722966.99"/>
    <n v="129074.9"/>
    <n v="116675"/>
    <n v="822050.99"/>
    <n v="0.45904943861289271"/>
    <n v="968716.89"/>
    <n v="0.54095056138710729"/>
  </r>
  <r>
    <x v="2"/>
    <n v="383206.99"/>
    <n v="92329.9"/>
    <n v="67508"/>
    <n v="2088594.99"/>
    <n v="0.79364771976323756"/>
    <n v="543044.89"/>
    <n v="0.2063522802367625"/>
  </r>
  <r>
    <x v="13"/>
    <n v="403285.99"/>
    <n v="74520.899999999994"/>
    <n v="47972"/>
    <n v="787895.99"/>
    <n v="0.59976482917904317"/>
    <n v="525778.89"/>
    <n v="0.40023517082095689"/>
  </r>
  <r>
    <x v="5"/>
    <n v="861790.99"/>
    <n v="107318.9"/>
    <n v="114935"/>
    <n v="2935405.99"/>
    <n v="0.73030025185927883"/>
    <n v="1084044.8900000001"/>
    <n v="0.26969974814072117"/>
  </r>
  <r>
    <x v="26"/>
    <n v="606589.99"/>
    <n v="82791.899999999994"/>
    <n v="75288"/>
    <n v="2088083.99"/>
    <n v="0.73195378144573764"/>
    <n v="764669.89"/>
    <n v="0.26804621855426242"/>
  </r>
  <r>
    <x v="35"/>
    <n v="1072542.99"/>
    <n v="75328.899999999994"/>
    <n v="98809"/>
    <n v="1890271.99"/>
    <n v="0.60258220710028643"/>
    <n v="1246680.8899999999"/>
    <n v="0.39741779289971352"/>
  </r>
  <r>
    <x v="24"/>
    <n v="155083.99"/>
    <n v="128398.9"/>
    <n v="63666"/>
    <n v="1866877.99"/>
    <n v="0.84320475368393"/>
    <n v="347148.89"/>
    <n v="0.15679524631607003"/>
  </r>
  <r>
    <x v="14"/>
    <n v="1019595.99"/>
    <n v="66110.899999999994"/>
    <n v="97604"/>
    <n v="2636294.9900000002"/>
    <n v="0.69020078846459421"/>
    <n v="1183310.8899999999"/>
    <n v="0.30979921153540585"/>
  </r>
  <r>
    <x v="1"/>
    <n v="1875133.99"/>
    <n v="103196.9"/>
    <n v="37718"/>
    <n v="2719799.99"/>
    <n v="0.57430041771096385"/>
    <n v="2016048.89"/>
    <n v="0.4256995822890362"/>
  </r>
  <r>
    <x v="6"/>
    <n v="1791848.99"/>
    <n v="79281.899999999994"/>
    <n v="103100"/>
    <n v="1311427.99"/>
    <n v="0.39913698831693689"/>
    <n v="1974230.89"/>
    <n v="0.60086301168306311"/>
  </r>
  <r>
    <x v="5"/>
    <n v="1387658.99"/>
    <n v="120777.9"/>
    <n v="119665"/>
    <n v="1570538.99"/>
    <n v="0.49100197518891214"/>
    <n v="1628101.89"/>
    <n v="0.50899802481108791"/>
  </r>
  <r>
    <x v="11"/>
    <n v="1263330.99"/>
    <n v="102385.9"/>
    <n v="117563"/>
    <n v="1542962.99"/>
    <n v="0.50986092365461433"/>
    <n v="1483279.89"/>
    <n v="0.49013907634538573"/>
  </r>
  <r>
    <x v="25"/>
    <n v="1821542.99"/>
    <n v="53279.9"/>
    <n v="47019"/>
    <n v="561220.99"/>
    <n v="0.22601964473811473"/>
    <n v="1921841.89"/>
    <n v="0.77398035526188524"/>
  </r>
  <r>
    <x v="6"/>
    <n v="859197.99"/>
    <n v="93983.9"/>
    <n v="71485"/>
    <n v="833587.99"/>
    <n v="0.44858646624407089"/>
    <n v="1024666.89"/>
    <n v="0.55141353375592916"/>
  </r>
  <r>
    <x v="33"/>
    <n v="105086.989999999"/>
    <n v="120847.9"/>
    <n v="102922"/>
    <n v="1276978.99"/>
    <n v="0.79521139482821923"/>
    <n v="328856.88999999897"/>
    <n v="0.2047886051717808"/>
  </r>
  <r>
    <x v="29"/>
    <n v="352053.99"/>
    <n v="87072.9"/>
    <n v="31951"/>
    <n v="398021.99"/>
    <n v="0.45797036584563788"/>
    <n v="471077.89"/>
    <n v="0.54202963415436212"/>
  </r>
  <r>
    <x v="18"/>
    <n v="476147.99"/>
    <n v="93143.9"/>
    <n v="75686"/>
    <n v="743815.99"/>
    <n v="0.53558415018361116"/>
    <n v="644977.89"/>
    <n v="0.46441584981638895"/>
  </r>
  <r>
    <x v="29"/>
    <n v="933266.99"/>
    <n v="107860.9"/>
    <n v="51672"/>
    <n v="1346449.99"/>
    <n v="0.55199346366268964"/>
    <n v="1092799.8900000001"/>
    <n v="0.44800653633731047"/>
  </r>
  <r>
    <x v="25"/>
    <n v="580840.99"/>
    <n v="53904.9"/>
    <n v="112994"/>
    <n v="1198331.99"/>
    <n v="0.61576964464436945"/>
    <n v="747739.89"/>
    <n v="0.38423035535563055"/>
  </r>
  <r>
    <x v="24"/>
    <n v="1116726.99"/>
    <n v="127485.9"/>
    <n v="81283"/>
    <n v="2886772.99"/>
    <n v="0.68532495722352849"/>
    <n v="1325495.8899999999"/>
    <n v="0.31467504277647157"/>
  </r>
  <r>
    <x v="40"/>
    <n v="225364.99"/>
    <n v="74910.899999999994"/>
    <n v="98882"/>
    <n v="1041043.99"/>
    <n v="0.72284587630173069"/>
    <n v="399157.89"/>
    <n v="0.27715412369826931"/>
  </r>
  <r>
    <x v="12"/>
    <n v="1997933.99"/>
    <n v="70581.899999999994"/>
    <n v="109378"/>
    <n v="1518147.99"/>
    <n v="0.41074967202482027"/>
    <n v="2177893.8899999997"/>
    <n v="0.58925032797517973"/>
  </r>
  <r>
    <x v="6"/>
    <n v="705193.99"/>
    <n v="86704.9"/>
    <n v="97281"/>
    <n v="2721712.99"/>
    <n v="0.7537506872815346"/>
    <n v="889179.89"/>
    <n v="0.24624931271846534"/>
  </r>
  <r>
    <x v="38"/>
    <n v="467335.99"/>
    <n v="54642.9"/>
    <n v="33824"/>
    <n v="1884640.99"/>
    <n v="0.77225336154830981"/>
    <n v="555802.89"/>
    <n v="0.22774663845169021"/>
  </r>
  <r>
    <x v="27"/>
    <n v="1059202.99"/>
    <n v="115841.9"/>
    <n v="45634"/>
    <n v="706488.99"/>
    <n v="0.36659441937149762"/>
    <n v="1220678.8899999999"/>
    <n v="0.63340558062850238"/>
  </r>
  <r>
    <x v="14"/>
    <n v="1557004.99"/>
    <n v="81097.899999999994"/>
    <n v="112433"/>
    <n v="1776624.99"/>
    <n v="0.50369831443583035"/>
    <n v="1750535.89"/>
    <n v="0.49630168556416965"/>
  </r>
  <r>
    <x v="25"/>
    <n v="1715627.99"/>
    <n v="61617.9"/>
    <n v="38514"/>
    <n v="1526547.99"/>
    <n v="0.45673470093365548"/>
    <n v="1815759.89"/>
    <n v="0.54326529906634458"/>
  </r>
  <r>
    <x v="13"/>
    <n v="1144034.99"/>
    <n v="98523.9"/>
    <n v="52896"/>
    <n v="2061628.99"/>
    <n v="0.61411304086926777"/>
    <n v="1295454.8899999999"/>
    <n v="0.38588695913073223"/>
  </r>
  <r>
    <x v="29"/>
    <n v="1496277.99"/>
    <n v="104491.9"/>
    <n v="74515"/>
    <n v="2430410.9900000002"/>
    <n v="0.59196079325778028"/>
    <n v="1675284.89"/>
    <n v="0.40803920674221977"/>
  </r>
  <r>
    <x v="5"/>
    <n v="637793.99"/>
    <n v="75079.899999999994"/>
    <n v="107567"/>
    <n v="2176831.9900000002"/>
    <n v="0.72627087260736833"/>
    <n v="820440.89"/>
    <n v="0.27372912739263161"/>
  </r>
  <r>
    <x v="40"/>
    <n v="921231.99"/>
    <n v="116948.9"/>
    <n v="73902"/>
    <n v="1035400.99"/>
    <n v="0.48214610579521561"/>
    <n v="1112082.8900000001"/>
    <n v="0.51785389420478456"/>
  </r>
  <r>
    <x v="37"/>
    <n v="912331.99"/>
    <n v="59714.9"/>
    <n v="70942"/>
    <n v="2848832.99"/>
    <n v="0.73200497809010723"/>
    <n v="1042988.89"/>
    <n v="0.26799502190989272"/>
  </r>
  <r>
    <x v="38"/>
    <n v="1340661.99"/>
    <n v="109442.9"/>
    <n v="93597"/>
    <n v="1921238.99"/>
    <n v="0.55447958754205351"/>
    <n v="1543701.89"/>
    <n v="0.445520412457946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8">
  <location ref="A4:B46" firstHeaderRow="1" firstDataRow="1" firstDataCol="1"/>
  <pivotFields count="8">
    <pivotField axis="axisRow" showAll="0" sortType="descending">
      <items count="42">
        <item x="29"/>
        <item x="24"/>
        <item x="30"/>
        <item x="9"/>
        <item x="1"/>
        <item x="33"/>
        <item x="17"/>
        <item x="19"/>
        <item x="2"/>
        <item x="36"/>
        <item x="26"/>
        <item x="7"/>
        <item x="12"/>
        <item x="11"/>
        <item x="4"/>
        <item x="40"/>
        <item x="20"/>
        <item x="13"/>
        <item x="31"/>
        <item x="32"/>
        <item x="8"/>
        <item x="21"/>
        <item x="37"/>
        <item x="10"/>
        <item x="23"/>
        <item x="6"/>
        <item x="38"/>
        <item x="16"/>
        <item x="0"/>
        <item x="18"/>
        <item x="28"/>
        <item x="25"/>
        <item x="35"/>
        <item x="34"/>
        <item x="27"/>
        <item x="14"/>
        <item x="15"/>
        <item x="22"/>
        <item x="3"/>
        <item x="39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3" showAll="0"/>
    <pivotField numFmtId="43" showAll="0"/>
    <pivotField numFmtId="43" showAll="0"/>
    <pivotField dataField="1" numFmtId="43" showAll="0"/>
    <pivotField numFmtId="9" showAll="0"/>
    <pivotField numFmtId="43" showAll="0"/>
    <pivotField numFmtId="9" showAll="0"/>
  </pivotFields>
  <rowFields count="1">
    <field x="0"/>
  </rowFields>
  <rowItems count="42">
    <i>
      <x v="40"/>
    </i>
    <i>
      <x v="30"/>
    </i>
    <i>
      <x v="31"/>
    </i>
    <i>
      <x v="25"/>
    </i>
    <i>
      <x v="23"/>
    </i>
    <i>
      <x v="38"/>
    </i>
    <i>
      <x v="17"/>
    </i>
    <i>
      <x v="35"/>
    </i>
    <i>
      <x v="8"/>
    </i>
    <i>
      <x v="4"/>
    </i>
    <i>
      <x v="1"/>
    </i>
    <i>
      <x v="12"/>
    </i>
    <i>
      <x v="29"/>
    </i>
    <i>
      <x v="26"/>
    </i>
    <i>
      <x v="7"/>
    </i>
    <i>
      <x v="18"/>
    </i>
    <i>
      <x v="32"/>
    </i>
    <i>
      <x v="11"/>
    </i>
    <i>
      <x v="15"/>
    </i>
    <i>
      <x v="22"/>
    </i>
    <i>
      <x v="6"/>
    </i>
    <i>
      <x v="19"/>
    </i>
    <i>
      <x v="13"/>
    </i>
    <i>
      <x v="20"/>
    </i>
    <i>
      <x v="21"/>
    </i>
    <i>
      <x v="9"/>
    </i>
    <i>
      <x v="33"/>
    </i>
    <i>
      <x/>
    </i>
    <i>
      <x v="14"/>
    </i>
    <i>
      <x v="24"/>
    </i>
    <i>
      <x v="34"/>
    </i>
    <i>
      <x v="10"/>
    </i>
    <i>
      <x v="16"/>
    </i>
    <i>
      <x v="5"/>
    </i>
    <i>
      <x v="27"/>
    </i>
    <i>
      <x v="28"/>
    </i>
    <i>
      <x v="2"/>
    </i>
    <i>
      <x v="37"/>
    </i>
    <i>
      <x v="36"/>
    </i>
    <i>
      <x v="3"/>
    </i>
    <i>
      <x v="39"/>
    </i>
    <i t="grand">
      <x/>
    </i>
  </rowItems>
  <colItems count="1">
    <i/>
  </colItems>
  <dataFields count="1">
    <dataField name="Net Profit" fld="4" baseField="0" baseItem="0"/>
  </dataFields>
  <formats count="4">
    <format dxfId="12">
      <pivotArea outline="0" collapsedLevelsAreSubtotals="1" fieldPosition="0"/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42">
    <chartFormat chart="2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27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27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27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7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7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7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27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27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7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7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27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7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7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27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27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7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7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27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27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7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7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7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27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27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7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7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27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7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27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27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27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7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27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27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7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27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27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27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27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G272" totalsRowShown="0" headerRowDxfId="8" tableBorderDxfId="7">
  <autoFilter ref="A1:G272"/>
  <tableColumns count="7">
    <tableColumn id="1" name="state_usa" dataDxfId="6"/>
    <tableColumn id="2" name="research_development_spent" dataDxfId="5" dataCellStyle="Comma"/>
    <tableColumn id="3" name="administration" dataDxfId="4" dataCellStyle="Comma"/>
    <tableColumn id="4" name="marketing_spent" dataDxfId="3" dataCellStyle="Comma"/>
    <tableColumn id="5" name="profit" dataDxfId="2" dataCellStyle="Comma"/>
    <tableColumn id="7" name="operating cost" dataDxfId="1">
      <calculatedColumnFormula>SUM(B2:D2)</calculatedColumnFormula>
    </tableColumn>
    <tableColumn id="8" name="ROI" dataDxfId="0" dataCellStyle="Percent">
      <calculatedColumnFormula>Table2[[#This Row],[profit]]/Table2[[#This Row],[operating cost]]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81"/>
  <sheetViews>
    <sheetView tabSelected="1" zoomScale="85" zoomScaleNormal="85" workbookViewId="0">
      <selection activeCell="X27" sqref="X27"/>
    </sheetView>
  </sheetViews>
  <sheetFormatPr defaultRowHeight="15" x14ac:dyDescent="0.25"/>
  <cols>
    <col min="1" max="1" width="14.7109375" customWidth="1"/>
    <col min="2" max="2" width="12.5703125" style="16" customWidth="1"/>
    <col min="3" max="3" width="15.85546875" style="1" bestFit="1" customWidth="1"/>
  </cols>
  <sheetData>
    <row r="4" spans="1:3" x14ac:dyDescent="0.25">
      <c r="A4" s="4" t="s">
        <v>47</v>
      </c>
      <c r="B4" t="s">
        <v>49</v>
      </c>
      <c r="C4"/>
    </row>
    <row r="5" spans="1:3" x14ac:dyDescent="0.25">
      <c r="A5" s="5" t="s">
        <v>10</v>
      </c>
      <c r="B5" s="17">
        <v>16710539.900000002</v>
      </c>
      <c r="C5"/>
    </row>
    <row r="6" spans="1:3" x14ac:dyDescent="0.25">
      <c r="A6" s="5" t="s">
        <v>33</v>
      </c>
      <c r="B6" s="17">
        <v>15699222.930000002</v>
      </c>
      <c r="C6"/>
    </row>
    <row r="7" spans="1:3" x14ac:dyDescent="0.25">
      <c r="A7" s="5" t="s">
        <v>30</v>
      </c>
      <c r="B7" s="17">
        <v>14574425.910000002</v>
      </c>
      <c r="C7"/>
    </row>
    <row r="8" spans="1:3" x14ac:dyDescent="0.25">
      <c r="A8" s="5" t="s">
        <v>11</v>
      </c>
      <c r="B8" s="17">
        <v>14333030.910000002</v>
      </c>
      <c r="C8"/>
    </row>
    <row r="9" spans="1:3" x14ac:dyDescent="0.25">
      <c r="A9" s="5" t="s">
        <v>15</v>
      </c>
      <c r="B9" s="17">
        <v>12863827.910000002</v>
      </c>
      <c r="C9"/>
    </row>
    <row r="10" spans="1:3" x14ac:dyDescent="0.25">
      <c r="A10" s="5" t="s">
        <v>8</v>
      </c>
      <c r="B10" s="17">
        <v>12466539.920000002</v>
      </c>
      <c r="C10"/>
    </row>
    <row r="11" spans="1:3" x14ac:dyDescent="0.25">
      <c r="A11" s="5" t="s">
        <v>18</v>
      </c>
      <c r="B11" s="17">
        <v>11876595.910000002</v>
      </c>
      <c r="C11"/>
    </row>
    <row r="12" spans="1:3" x14ac:dyDescent="0.25">
      <c r="A12" s="5" t="s">
        <v>19</v>
      </c>
      <c r="B12" s="17">
        <v>11252166.940000001</v>
      </c>
      <c r="C12"/>
    </row>
    <row r="13" spans="1:3" x14ac:dyDescent="0.25">
      <c r="A13" s="5" t="s">
        <v>7</v>
      </c>
      <c r="B13" s="17">
        <v>11171566.15</v>
      </c>
      <c r="C13"/>
    </row>
    <row r="14" spans="1:3" x14ac:dyDescent="0.25">
      <c r="A14" s="5" t="s">
        <v>6</v>
      </c>
      <c r="B14" s="17">
        <v>10754524</v>
      </c>
      <c r="C14"/>
    </row>
    <row r="15" spans="1:3" x14ac:dyDescent="0.25">
      <c r="A15" s="5" t="s">
        <v>29</v>
      </c>
      <c r="B15" s="17">
        <v>9845632.9500000011</v>
      </c>
      <c r="C15"/>
    </row>
    <row r="16" spans="1:3" x14ac:dyDescent="0.25">
      <c r="A16" s="5" t="s">
        <v>17</v>
      </c>
      <c r="B16" s="17">
        <v>9492786.9400000013</v>
      </c>
      <c r="C16"/>
    </row>
    <row r="17" spans="1:3" x14ac:dyDescent="0.25">
      <c r="A17" s="5" t="s">
        <v>23</v>
      </c>
      <c r="B17" s="17">
        <v>9435823.9500000011</v>
      </c>
      <c r="C17"/>
    </row>
    <row r="18" spans="1:3" x14ac:dyDescent="0.25">
      <c r="A18" s="5" t="s">
        <v>43</v>
      </c>
      <c r="B18" s="17">
        <v>9167723.9400000013</v>
      </c>
      <c r="C18"/>
    </row>
    <row r="19" spans="1:3" x14ac:dyDescent="0.25">
      <c r="A19" s="5" t="s">
        <v>24</v>
      </c>
      <c r="B19" s="17">
        <v>9060875.9600000009</v>
      </c>
      <c r="C19"/>
    </row>
    <row r="20" spans="1:3" x14ac:dyDescent="0.25">
      <c r="A20" s="5" t="s">
        <v>36</v>
      </c>
      <c r="B20" s="17">
        <v>8844010.9400000013</v>
      </c>
      <c r="C20"/>
    </row>
    <row r="21" spans="1:3" x14ac:dyDescent="0.25">
      <c r="A21" s="5" t="s">
        <v>40</v>
      </c>
      <c r="B21" s="17">
        <v>8813872.9400000013</v>
      </c>
      <c r="C21"/>
    </row>
    <row r="22" spans="1:3" x14ac:dyDescent="0.25">
      <c r="A22" s="5" t="s">
        <v>12</v>
      </c>
      <c r="B22" s="17">
        <v>8754868.9400000013</v>
      </c>
      <c r="C22"/>
    </row>
    <row r="23" spans="1:3" x14ac:dyDescent="0.25">
      <c r="A23" s="5" t="s">
        <v>45</v>
      </c>
      <c r="B23" s="17">
        <v>7897002.9500000011</v>
      </c>
      <c r="C23"/>
    </row>
    <row r="24" spans="1:3" x14ac:dyDescent="0.25">
      <c r="A24" s="5" t="s">
        <v>42</v>
      </c>
      <c r="B24" s="17">
        <v>7859138.9600000009</v>
      </c>
      <c r="C24"/>
    </row>
    <row r="25" spans="1:3" x14ac:dyDescent="0.25">
      <c r="A25" s="5" t="s">
        <v>22</v>
      </c>
      <c r="B25" s="17">
        <v>7736904.9600000009</v>
      </c>
      <c r="C25"/>
    </row>
    <row r="26" spans="1:3" x14ac:dyDescent="0.25">
      <c r="A26" s="5" t="s">
        <v>37</v>
      </c>
      <c r="B26" s="17">
        <v>7120800.96</v>
      </c>
      <c r="C26"/>
    </row>
    <row r="27" spans="1:3" x14ac:dyDescent="0.25">
      <c r="A27" s="5" t="s">
        <v>16</v>
      </c>
      <c r="B27" s="17">
        <v>6649068.9600000009</v>
      </c>
      <c r="C27"/>
    </row>
    <row r="28" spans="1:3" x14ac:dyDescent="0.25">
      <c r="A28" s="5" t="s">
        <v>13</v>
      </c>
      <c r="B28" s="17">
        <v>6328527.9500000011</v>
      </c>
      <c r="C28"/>
    </row>
    <row r="29" spans="1:3" x14ac:dyDescent="0.25">
      <c r="A29" s="5" t="s">
        <v>26</v>
      </c>
      <c r="B29" s="17">
        <v>6203156.9500000002</v>
      </c>
      <c r="C29"/>
    </row>
    <row r="30" spans="1:3" x14ac:dyDescent="0.25">
      <c r="A30" s="5" t="s">
        <v>41</v>
      </c>
      <c r="B30" s="17">
        <v>5965227.9500000002</v>
      </c>
      <c r="C30"/>
    </row>
    <row r="31" spans="1:3" x14ac:dyDescent="0.25">
      <c r="A31" s="5" t="s">
        <v>39</v>
      </c>
      <c r="B31" s="17">
        <v>5694940.9700000007</v>
      </c>
      <c r="C31"/>
    </row>
    <row r="32" spans="1:3" x14ac:dyDescent="0.25">
      <c r="A32" s="5" t="s">
        <v>34</v>
      </c>
      <c r="B32" s="17">
        <v>5692296.9500000002</v>
      </c>
      <c r="C32"/>
    </row>
    <row r="33" spans="1:3" x14ac:dyDescent="0.25">
      <c r="A33" s="5" t="s">
        <v>9</v>
      </c>
      <c r="B33" s="17">
        <v>5336347.9600000009</v>
      </c>
      <c r="C33"/>
    </row>
    <row r="34" spans="1:3" x14ac:dyDescent="0.25">
      <c r="A34" s="5" t="s">
        <v>28</v>
      </c>
      <c r="B34" s="17">
        <v>5267210.9400000004</v>
      </c>
      <c r="C34"/>
    </row>
    <row r="35" spans="1:3" x14ac:dyDescent="0.25">
      <c r="A35" s="5" t="s">
        <v>32</v>
      </c>
      <c r="B35" s="17">
        <v>4928633.9400000004</v>
      </c>
      <c r="C35"/>
    </row>
    <row r="36" spans="1:3" x14ac:dyDescent="0.25">
      <c r="A36" s="5" t="s">
        <v>31</v>
      </c>
      <c r="B36" s="17">
        <v>4666354.9700000007</v>
      </c>
      <c r="C36"/>
    </row>
    <row r="37" spans="1:3" x14ac:dyDescent="0.25">
      <c r="A37" s="5" t="s">
        <v>25</v>
      </c>
      <c r="B37" s="17">
        <v>4343518.9700000007</v>
      </c>
      <c r="C37"/>
    </row>
    <row r="38" spans="1:3" x14ac:dyDescent="0.25">
      <c r="A38" s="5" t="s">
        <v>38</v>
      </c>
      <c r="B38" s="17">
        <v>3676113.9699999997</v>
      </c>
      <c r="C38"/>
    </row>
    <row r="39" spans="1:3" x14ac:dyDescent="0.25">
      <c r="A39" s="5" t="s">
        <v>21</v>
      </c>
      <c r="B39" s="17">
        <v>3422492.9800000004</v>
      </c>
      <c r="C39"/>
    </row>
    <row r="40" spans="1:3" x14ac:dyDescent="0.25">
      <c r="A40" s="5" t="s">
        <v>5</v>
      </c>
      <c r="B40" s="17">
        <v>3302593.0100000002</v>
      </c>
      <c r="C40"/>
    </row>
    <row r="41" spans="1:3" x14ac:dyDescent="0.25">
      <c r="A41" s="5" t="s">
        <v>35</v>
      </c>
      <c r="B41" s="17">
        <v>2942282.99</v>
      </c>
      <c r="C41"/>
    </row>
    <row r="42" spans="1:3" x14ac:dyDescent="0.25">
      <c r="A42" s="5" t="s">
        <v>27</v>
      </c>
      <c r="B42" s="17">
        <v>2464341.98</v>
      </c>
      <c r="C42"/>
    </row>
    <row r="43" spans="1:3" x14ac:dyDescent="0.25">
      <c r="A43" s="5" t="s">
        <v>20</v>
      </c>
      <c r="B43" s="17">
        <v>2348855.9800000004</v>
      </c>
      <c r="C43"/>
    </row>
    <row r="44" spans="1:3" x14ac:dyDescent="0.25">
      <c r="A44" s="5" t="s">
        <v>14</v>
      </c>
      <c r="B44" s="17">
        <v>1487917.98</v>
      </c>
      <c r="C44"/>
    </row>
    <row r="45" spans="1:3" x14ac:dyDescent="0.25">
      <c r="A45" s="5" t="s">
        <v>44</v>
      </c>
      <c r="B45" s="17">
        <v>1241594.98</v>
      </c>
      <c r="C45"/>
    </row>
    <row r="46" spans="1:3" x14ac:dyDescent="0.25">
      <c r="A46" s="5" t="s">
        <v>48</v>
      </c>
      <c r="B46" s="17">
        <v>317693365.25</v>
      </c>
      <c r="C46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2"/>
  <sheetViews>
    <sheetView workbookViewId="0">
      <selection activeCell="L21" sqref="L21"/>
    </sheetView>
  </sheetViews>
  <sheetFormatPr defaultRowHeight="15" x14ac:dyDescent="0.25"/>
  <cols>
    <col min="1" max="1" width="14" bestFit="1" customWidth="1"/>
    <col min="2" max="2" width="30.5703125" style="1" bestFit="1" customWidth="1"/>
    <col min="3" max="3" width="17" style="1" customWidth="1"/>
    <col min="4" max="4" width="19" style="1" customWidth="1"/>
    <col min="5" max="5" width="13.28515625" style="1" bestFit="1" customWidth="1"/>
    <col min="6" max="6" width="15.7109375" customWidth="1"/>
    <col min="7" max="7" width="17.7109375" style="19" customWidth="1"/>
  </cols>
  <sheetData>
    <row r="1" spans="1:7" x14ac:dyDescent="0.25">
      <c r="A1" s="13" t="s">
        <v>3</v>
      </c>
      <c r="B1" s="14" t="s">
        <v>0</v>
      </c>
      <c r="C1" s="14" t="s">
        <v>1</v>
      </c>
      <c r="D1" s="14" t="s">
        <v>2</v>
      </c>
      <c r="E1" s="14" t="s">
        <v>4</v>
      </c>
      <c r="F1" s="15" t="s">
        <v>46</v>
      </c>
      <c r="G1" s="18" t="s">
        <v>50</v>
      </c>
    </row>
    <row r="2" spans="1:7" x14ac:dyDescent="0.25">
      <c r="A2" s="10" t="s">
        <v>5</v>
      </c>
      <c r="B2" s="6">
        <v>165349.20000000001</v>
      </c>
      <c r="C2" s="6">
        <v>136897.79999999999</v>
      </c>
      <c r="D2" s="6">
        <v>471784.1</v>
      </c>
      <c r="E2" s="6">
        <v>192261.83</v>
      </c>
      <c r="F2" s="7">
        <f t="shared" ref="F2:F65" si="0">SUM(B2:D2)</f>
        <v>774031.1</v>
      </c>
      <c r="G2" s="19">
        <f>Table2[[#This Row],[profit]]/Table2[[#This Row],[operating cost]]</f>
        <v>0.24839031661647704</v>
      </c>
    </row>
    <row r="3" spans="1:7" x14ac:dyDescent="0.25">
      <c r="A3" s="11" t="s">
        <v>6</v>
      </c>
      <c r="B3" s="8">
        <v>162597.70000000001</v>
      </c>
      <c r="C3" s="8">
        <v>151377.59</v>
      </c>
      <c r="D3" s="8">
        <v>443898.53</v>
      </c>
      <c r="E3" s="8">
        <v>191792.06</v>
      </c>
      <c r="F3" s="9">
        <f t="shared" si="0"/>
        <v>757873.82000000007</v>
      </c>
      <c r="G3" s="19">
        <f>Table2[[#This Row],[profit]]/Table2[[#This Row],[operating cost]]</f>
        <v>0.25306595232435919</v>
      </c>
    </row>
    <row r="4" spans="1:7" x14ac:dyDescent="0.25">
      <c r="A4" s="10" t="s">
        <v>7</v>
      </c>
      <c r="B4" s="6">
        <v>153441.51</v>
      </c>
      <c r="C4" s="6">
        <v>101145.55</v>
      </c>
      <c r="D4" s="6">
        <v>407934.54</v>
      </c>
      <c r="E4" s="6">
        <v>191050.39</v>
      </c>
      <c r="F4" s="7">
        <f t="shared" si="0"/>
        <v>662521.59999999998</v>
      </c>
      <c r="G4" s="19">
        <f>Table2[[#This Row],[profit]]/Table2[[#This Row],[operating cost]]</f>
        <v>0.28836854526705247</v>
      </c>
    </row>
    <row r="5" spans="1:7" x14ac:dyDescent="0.25">
      <c r="A5" s="11" t="s">
        <v>5</v>
      </c>
      <c r="B5" s="8">
        <v>144372.41</v>
      </c>
      <c r="C5" s="8">
        <v>118671.85</v>
      </c>
      <c r="D5" s="8">
        <v>383199.62</v>
      </c>
      <c r="E5" s="8">
        <v>182901.99</v>
      </c>
      <c r="F5" s="9">
        <f t="shared" si="0"/>
        <v>646243.88</v>
      </c>
      <c r="G5" s="19">
        <f>Table2[[#This Row],[profit]]/Table2[[#This Row],[operating cost]]</f>
        <v>0.28302316766233826</v>
      </c>
    </row>
    <row r="6" spans="1:7" x14ac:dyDescent="0.25">
      <c r="A6" s="10" t="s">
        <v>7</v>
      </c>
      <c r="B6" s="6">
        <v>142107.34</v>
      </c>
      <c r="C6" s="6">
        <v>91391.77</v>
      </c>
      <c r="D6" s="6">
        <v>366168.42</v>
      </c>
      <c r="E6" s="6">
        <v>166187.94</v>
      </c>
      <c r="F6" s="7">
        <f t="shared" si="0"/>
        <v>599667.53</v>
      </c>
      <c r="G6" s="19">
        <f>Table2[[#This Row],[profit]]/Table2[[#This Row],[operating cost]]</f>
        <v>0.27713346427144386</v>
      </c>
    </row>
    <row r="7" spans="1:7" x14ac:dyDescent="0.25">
      <c r="A7" s="11" t="s">
        <v>5</v>
      </c>
      <c r="B7" s="8">
        <v>131876.9</v>
      </c>
      <c r="C7" s="8">
        <v>99814.71</v>
      </c>
      <c r="D7" s="8">
        <v>362861.36</v>
      </c>
      <c r="E7" s="8">
        <v>156991.12</v>
      </c>
      <c r="F7" s="9">
        <f t="shared" si="0"/>
        <v>594552.97</v>
      </c>
      <c r="G7" s="19">
        <f>Table2[[#This Row],[profit]]/Table2[[#This Row],[operating cost]]</f>
        <v>0.26404900475057758</v>
      </c>
    </row>
    <row r="8" spans="1:7" x14ac:dyDescent="0.25">
      <c r="A8" s="10" t="s">
        <v>6</v>
      </c>
      <c r="B8" s="6">
        <v>134615.46</v>
      </c>
      <c r="C8" s="6">
        <v>147198.87</v>
      </c>
      <c r="D8" s="6">
        <v>127716.82</v>
      </c>
      <c r="E8" s="6">
        <v>156122.51</v>
      </c>
      <c r="F8" s="7">
        <f t="shared" si="0"/>
        <v>409531.14999999997</v>
      </c>
      <c r="G8" s="19">
        <f>Table2[[#This Row],[profit]]/Table2[[#This Row],[operating cost]]</f>
        <v>0.38122255169112296</v>
      </c>
    </row>
    <row r="9" spans="1:7" x14ac:dyDescent="0.25">
      <c r="A9" s="11" t="s">
        <v>7</v>
      </c>
      <c r="B9" s="8">
        <v>130298.13</v>
      </c>
      <c r="C9" s="8">
        <v>145530.06</v>
      </c>
      <c r="D9" s="8">
        <v>323876.68</v>
      </c>
      <c r="E9" s="8">
        <v>155752.6</v>
      </c>
      <c r="F9" s="9">
        <f t="shared" si="0"/>
        <v>599704.87</v>
      </c>
      <c r="G9" s="19">
        <f>Table2[[#This Row],[profit]]/Table2[[#This Row],[operating cost]]</f>
        <v>0.25971541635137962</v>
      </c>
    </row>
    <row r="10" spans="1:7" x14ac:dyDescent="0.25">
      <c r="A10" s="10" t="s">
        <v>5</v>
      </c>
      <c r="B10" s="6">
        <v>120542.52</v>
      </c>
      <c r="C10" s="6">
        <v>148718.95000000001</v>
      </c>
      <c r="D10" s="6">
        <v>311613.28999999998</v>
      </c>
      <c r="E10" s="6">
        <v>152211.76999999999</v>
      </c>
      <c r="F10" s="7">
        <f t="shared" si="0"/>
        <v>580874.76</v>
      </c>
      <c r="G10" s="19">
        <f>Table2[[#This Row],[profit]]/Table2[[#This Row],[operating cost]]</f>
        <v>0.26203887736489012</v>
      </c>
    </row>
    <row r="11" spans="1:7" x14ac:dyDescent="0.25">
      <c r="A11" s="11" t="s">
        <v>6</v>
      </c>
      <c r="B11" s="8">
        <v>123334.88</v>
      </c>
      <c r="C11" s="8">
        <v>108679.17</v>
      </c>
      <c r="D11" s="8">
        <v>304981.62</v>
      </c>
      <c r="E11" s="8">
        <v>149759.96</v>
      </c>
      <c r="F11" s="9">
        <f t="shared" si="0"/>
        <v>536995.66999999993</v>
      </c>
      <c r="G11" s="19">
        <f>Table2[[#This Row],[profit]]/Table2[[#This Row],[operating cost]]</f>
        <v>0.27888485581271077</v>
      </c>
    </row>
    <row r="12" spans="1:7" x14ac:dyDescent="0.25">
      <c r="A12" s="10" t="s">
        <v>7</v>
      </c>
      <c r="B12" s="6">
        <v>101913.08</v>
      </c>
      <c r="C12" s="6">
        <v>110594.11</v>
      </c>
      <c r="D12" s="6">
        <v>229160.95</v>
      </c>
      <c r="E12" s="6">
        <v>146121.95000000001</v>
      </c>
      <c r="F12" s="7">
        <f t="shared" si="0"/>
        <v>441668.14</v>
      </c>
      <c r="G12" s="19">
        <f>Table2[[#This Row],[profit]]/Table2[[#This Row],[operating cost]]</f>
        <v>0.33084104730760072</v>
      </c>
    </row>
    <row r="13" spans="1:7" x14ac:dyDescent="0.25">
      <c r="A13" s="11" t="s">
        <v>6</v>
      </c>
      <c r="B13" s="8">
        <v>100671.96</v>
      </c>
      <c r="C13" s="8">
        <v>91790.61</v>
      </c>
      <c r="D13" s="8">
        <v>249744.55</v>
      </c>
      <c r="E13" s="8">
        <v>144259.4</v>
      </c>
      <c r="F13" s="9">
        <f t="shared" si="0"/>
        <v>442207.12</v>
      </c>
      <c r="G13" s="19">
        <f>Table2[[#This Row],[profit]]/Table2[[#This Row],[operating cost]]</f>
        <v>0.32622586447726121</v>
      </c>
    </row>
    <row r="14" spans="1:7" x14ac:dyDescent="0.25">
      <c r="A14" s="10" t="s">
        <v>7</v>
      </c>
      <c r="B14" s="6">
        <v>93863.75</v>
      </c>
      <c r="C14" s="6">
        <v>127320.38</v>
      </c>
      <c r="D14" s="6">
        <v>249839.44</v>
      </c>
      <c r="E14" s="6">
        <v>141585.51999999999</v>
      </c>
      <c r="F14" s="7">
        <f t="shared" si="0"/>
        <v>471023.57</v>
      </c>
      <c r="G14" s="19">
        <f>Table2[[#This Row],[profit]]/Table2[[#This Row],[operating cost]]</f>
        <v>0.30059115725355312</v>
      </c>
    </row>
    <row r="15" spans="1:7" x14ac:dyDescent="0.25">
      <c r="A15" s="11" t="s">
        <v>6</v>
      </c>
      <c r="B15" s="8">
        <v>91992.39</v>
      </c>
      <c r="C15" s="8">
        <v>135495.07</v>
      </c>
      <c r="D15" s="8">
        <v>252664.93</v>
      </c>
      <c r="E15" s="8">
        <v>134307.35</v>
      </c>
      <c r="F15" s="9">
        <f t="shared" si="0"/>
        <v>480152.39</v>
      </c>
      <c r="G15" s="19">
        <f>Table2[[#This Row],[profit]]/Table2[[#This Row],[operating cost]]</f>
        <v>0.27971817447373321</v>
      </c>
    </row>
    <row r="16" spans="1:7" x14ac:dyDescent="0.25">
      <c r="A16" s="10" t="s">
        <v>7</v>
      </c>
      <c r="B16" s="6">
        <v>119943.24</v>
      </c>
      <c r="C16" s="6">
        <v>156547.42000000001</v>
      </c>
      <c r="D16" s="6">
        <v>256512.92</v>
      </c>
      <c r="E16" s="6">
        <v>132602.65</v>
      </c>
      <c r="F16" s="7">
        <f t="shared" si="0"/>
        <v>533003.58000000007</v>
      </c>
      <c r="G16" s="19">
        <f>Table2[[#This Row],[profit]]/Table2[[#This Row],[operating cost]]</f>
        <v>0.24878378865672904</v>
      </c>
    </row>
    <row r="17" spans="1:7" x14ac:dyDescent="0.25">
      <c r="A17" s="11" t="s">
        <v>5</v>
      </c>
      <c r="B17" s="8">
        <v>114523.61</v>
      </c>
      <c r="C17" s="8">
        <v>122616.84</v>
      </c>
      <c r="D17" s="8">
        <v>261776.23</v>
      </c>
      <c r="E17" s="8">
        <v>129917.04</v>
      </c>
      <c r="F17" s="9">
        <f t="shared" si="0"/>
        <v>498916.68000000005</v>
      </c>
      <c r="G17" s="19">
        <f>Table2[[#This Row],[profit]]/Table2[[#This Row],[operating cost]]</f>
        <v>0.26039826930620957</v>
      </c>
    </row>
    <row r="18" spans="1:7" x14ac:dyDescent="0.25">
      <c r="A18" s="10" t="s">
        <v>6</v>
      </c>
      <c r="B18" s="6">
        <v>78013.11</v>
      </c>
      <c r="C18" s="6">
        <v>121597.55</v>
      </c>
      <c r="D18" s="6">
        <v>264346.06</v>
      </c>
      <c r="E18" s="6">
        <v>126992.93</v>
      </c>
      <c r="F18" s="7">
        <f t="shared" si="0"/>
        <v>463956.72</v>
      </c>
      <c r="G18" s="19">
        <f>Table2[[#This Row],[profit]]/Table2[[#This Row],[operating cost]]</f>
        <v>0.27371719068968331</v>
      </c>
    </row>
    <row r="19" spans="1:7" x14ac:dyDescent="0.25">
      <c r="A19" s="11" t="s">
        <v>5</v>
      </c>
      <c r="B19" s="8">
        <v>94657.16</v>
      </c>
      <c r="C19" s="8">
        <v>145077.57999999999</v>
      </c>
      <c r="D19" s="8">
        <v>282574.31</v>
      </c>
      <c r="E19" s="8">
        <v>125370.37</v>
      </c>
      <c r="F19" s="9">
        <f t="shared" si="0"/>
        <v>522309.05</v>
      </c>
      <c r="G19" s="19">
        <f>Table2[[#This Row],[profit]]/Table2[[#This Row],[operating cost]]</f>
        <v>0.24003101229052032</v>
      </c>
    </row>
    <row r="20" spans="1:7" x14ac:dyDescent="0.25">
      <c r="A20" s="10" t="s">
        <v>7</v>
      </c>
      <c r="B20" s="6">
        <v>91749.16</v>
      </c>
      <c r="C20" s="6">
        <v>114175.79</v>
      </c>
      <c r="D20" s="6">
        <v>294919.57</v>
      </c>
      <c r="E20" s="6">
        <v>124266.9</v>
      </c>
      <c r="F20" s="7">
        <f t="shared" si="0"/>
        <v>500844.52</v>
      </c>
      <c r="G20" s="19">
        <f>Table2[[#This Row],[profit]]/Table2[[#This Row],[operating cost]]</f>
        <v>0.24811472430605808</v>
      </c>
    </row>
    <row r="21" spans="1:7" x14ac:dyDescent="0.25">
      <c r="A21" s="11" t="s">
        <v>5</v>
      </c>
      <c r="B21" s="8">
        <v>86419.7</v>
      </c>
      <c r="C21" s="8">
        <v>153514.10999999999</v>
      </c>
      <c r="D21" s="8">
        <v>0</v>
      </c>
      <c r="E21" s="8">
        <v>122776.86</v>
      </c>
      <c r="F21" s="9">
        <f t="shared" si="0"/>
        <v>239933.81</v>
      </c>
      <c r="G21" s="19">
        <f>Table2[[#This Row],[profit]]/Table2[[#This Row],[operating cost]]</f>
        <v>0.51171137573316572</v>
      </c>
    </row>
    <row r="22" spans="1:7" x14ac:dyDescent="0.25">
      <c r="A22" s="10" t="s">
        <v>6</v>
      </c>
      <c r="B22" s="6">
        <v>76253.86</v>
      </c>
      <c r="C22" s="6">
        <v>113867.3</v>
      </c>
      <c r="D22" s="6">
        <v>298664.46999999997</v>
      </c>
      <c r="E22" s="6">
        <v>118474.03</v>
      </c>
      <c r="F22" s="7">
        <f t="shared" si="0"/>
        <v>488785.63</v>
      </c>
      <c r="G22" s="19">
        <f>Table2[[#This Row],[profit]]/Table2[[#This Row],[operating cost]]</f>
        <v>0.24238443752939298</v>
      </c>
    </row>
    <row r="23" spans="1:7" x14ac:dyDescent="0.25">
      <c r="A23" s="11" t="s">
        <v>5</v>
      </c>
      <c r="B23" s="8">
        <v>78389.47</v>
      </c>
      <c r="C23" s="8">
        <v>153773.43</v>
      </c>
      <c r="D23" s="8">
        <v>299737.28999999998</v>
      </c>
      <c r="E23" s="8">
        <v>111313.02</v>
      </c>
      <c r="F23" s="9">
        <f t="shared" si="0"/>
        <v>531900.18999999994</v>
      </c>
      <c r="G23" s="19">
        <f>Table2[[#This Row],[profit]]/Table2[[#This Row],[operating cost]]</f>
        <v>0.20927426252658421</v>
      </c>
    </row>
    <row r="24" spans="1:7" x14ac:dyDescent="0.25">
      <c r="A24" s="10" t="s">
        <v>7</v>
      </c>
      <c r="B24" s="6">
        <v>73994.559999999998</v>
      </c>
      <c r="C24" s="6">
        <v>122782.75</v>
      </c>
      <c r="D24" s="6">
        <v>303319.26</v>
      </c>
      <c r="E24" s="6">
        <v>110352.25</v>
      </c>
      <c r="F24" s="7">
        <f t="shared" si="0"/>
        <v>500096.57</v>
      </c>
      <c r="G24" s="19">
        <f>Table2[[#This Row],[profit]]/Table2[[#This Row],[operating cost]]</f>
        <v>0.22066188136423331</v>
      </c>
    </row>
    <row r="25" spans="1:7" x14ac:dyDescent="0.25">
      <c r="A25" s="11" t="s">
        <v>7</v>
      </c>
      <c r="B25" s="8">
        <v>67532.53</v>
      </c>
      <c r="C25" s="8">
        <v>105751.03</v>
      </c>
      <c r="D25" s="8">
        <v>304768.73</v>
      </c>
      <c r="E25" s="8">
        <v>108733.99</v>
      </c>
      <c r="F25" s="9">
        <f t="shared" si="0"/>
        <v>478052.29</v>
      </c>
      <c r="G25" s="19">
        <f>Table2[[#This Row],[profit]]/Table2[[#This Row],[operating cost]]</f>
        <v>0.22745208479181223</v>
      </c>
    </row>
    <row r="26" spans="1:7" x14ac:dyDescent="0.25">
      <c r="A26" s="10" t="s">
        <v>5</v>
      </c>
      <c r="B26" s="6">
        <v>77044.009999999995</v>
      </c>
      <c r="C26" s="6">
        <v>99281.34</v>
      </c>
      <c r="D26" s="6">
        <v>140574.81</v>
      </c>
      <c r="E26" s="6">
        <v>108552.04</v>
      </c>
      <c r="F26" s="7">
        <f t="shared" si="0"/>
        <v>316900.15999999997</v>
      </c>
      <c r="G26" s="19">
        <f>Table2[[#This Row],[profit]]/Table2[[#This Row],[operating cost]]</f>
        <v>0.34254334235741629</v>
      </c>
    </row>
    <row r="27" spans="1:7" x14ac:dyDescent="0.25">
      <c r="A27" s="11" t="s">
        <v>6</v>
      </c>
      <c r="B27" s="8">
        <v>64664.71</v>
      </c>
      <c r="C27" s="8">
        <v>139553.16</v>
      </c>
      <c r="D27" s="8">
        <v>137962.62</v>
      </c>
      <c r="E27" s="8">
        <v>107404.34</v>
      </c>
      <c r="F27" s="9">
        <f t="shared" si="0"/>
        <v>342180.49</v>
      </c>
      <c r="G27" s="19">
        <f>Table2[[#This Row],[profit]]/Table2[[#This Row],[operating cost]]</f>
        <v>0.313882126944175</v>
      </c>
    </row>
    <row r="28" spans="1:7" x14ac:dyDescent="0.25">
      <c r="A28" s="10" t="s">
        <v>7</v>
      </c>
      <c r="B28" s="6">
        <v>75328.87</v>
      </c>
      <c r="C28" s="6">
        <v>144135.98000000001</v>
      </c>
      <c r="D28" s="6">
        <v>134050.07</v>
      </c>
      <c r="E28" s="6">
        <v>105733.54</v>
      </c>
      <c r="F28" s="7">
        <f t="shared" si="0"/>
        <v>353514.92000000004</v>
      </c>
      <c r="G28" s="19">
        <f>Table2[[#This Row],[profit]]/Table2[[#This Row],[operating cost]]</f>
        <v>0.29909215712875709</v>
      </c>
    </row>
    <row r="29" spans="1:7" x14ac:dyDescent="0.25">
      <c r="A29" s="11" t="s">
        <v>5</v>
      </c>
      <c r="B29" s="8">
        <v>72107.600000000006</v>
      </c>
      <c r="C29" s="8">
        <v>127864.55</v>
      </c>
      <c r="D29" s="8">
        <v>353183.81</v>
      </c>
      <c r="E29" s="8">
        <v>105008.31</v>
      </c>
      <c r="F29" s="9">
        <f t="shared" si="0"/>
        <v>553155.96</v>
      </c>
      <c r="G29" s="19">
        <f>Table2[[#This Row],[profit]]/Table2[[#This Row],[operating cost]]</f>
        <v>0.1898349065966857</v>
      </c>
    </row>
    <row r="30" spans="1:7" x14ac:dyDescent="0.25">
      <c r="A30" s="10" t="s">
        <v>7</v>
      </c>
      <c r="B30" s="6">
        <v>66051.520000000004</v>
      </c>
      <c r="C30" s="6">
        <v>182645.56</v>
      </c>
      <c r="D30" s="6">
        <v>118148.2</v>
      </c>
      <c r="E30" s="6">
        <v>103282.38</v>
      </c>
      <c r="F30" s="7">
        <f t="shared" si="0"/>
        <v>366845.28</v>
      </c>
      <c r="G30" s="19">
        <f>Table2[[#This Row],[profit]]/Table2[[#This Row],[operating cost]]</f>
        <v>0.28154207136043835</v>
      </c>
    </row>
    <row r="31" spans="1:7" x14ac:dyDescent="0.25">
      <c r="A31" s="11" t="s">
        <v>5</v>
      </c>
      <c r="B31" s="8">
        <v>65605.48</v>
      </c>
      <c r="C31" s="8">
        <v>153032.06</v>
      </c>
      <c r="D31" s="8">
        <v>107138.38</v>
      </c>
      <c r="E31" s="8">
        <v>101004.64</v>
      </c>
      <c r="F31" s="9">
        <f t="shared" si="0"/>
        <v>325775.92</v>
      </c>
      <c r="G31" s="19">
        <f>Table2[[#This Row],[profit]]/Table2[[#This Row],[operating cost]]</f>
        <v>0.31004329601770447</v>
      </c>
    </row>
    <row r="32" spans="1:7" x14ac:dyDescent="0.25">
      <c r="A32" s="10" t="s">
        <v>7</v>
      </c>
      <c r="B32" s="6">
        <v>61994.48</v>
      </c>
      <c r="C32" s="6">
        <v>115641.28</v>
      </c>
      <c r="D32" s="6">
        <v>91131.24</v>
      </c>
      <c r="E32" s="6">
        <v>99937.59</v>
      </c>
      <c r="F32" s="7">
        <f t="shared" si="0"/>
        <v>268767</v>
      </c>
      <c r="G32" s="19">
        <f>Table2[[#This Row],[profit]]/Table2[[#This Row],[operating cost]]</f>
        <v>0.37183727913025033</v>
      </c>
    </row>
    <row r="33" spans="1:7" x14ac:dyDescent="0.25">
      <c r="A33" s="11" t="s">
        <v>5</v>
      </c>
      <c r="B33" s="8">
        <v>61136.38</v>
      </c>
      <c r="C33" s="8">
        <v>152701.92000000001</v>
      </c>
      <c r="D33" s="8">
        <v>88218.23</v>
      </c>
      <c r="E33" s="8">
        <v>97483.56</v>
      </c>
      <c r="F33" s="9">
        <f t="shared" si="0"/>
        <v>302056.53000000003</v>
      </c>
      <c r="G33" s="19">
        <f>Table2[[#This Row],[profit]]/Table2[[#This Row],[operating cost]]</f>
        <v>0.32273283414862769</v>
      </c>
    </row>
    <row r="34" spans="1:7" x14ac:dyDescent="0.25">
      <c r="A34" s="10" t="s">
        <v>6</v>
      </c>
      <c r="B34" s="6">
        <v>63408.86</v>
      </c>
      <c r="C34" s="6">
        <v>129219.61</v>
      </c>
      <c r="D34" s="6">
        <v>46085.25</v>
      </c>
      <c r="E34" s="6">
        <v>97427.839999999997</v>
      </c>
      <c r="F34" s="7">
        <f t="shared" si="0"/>
        <v>238713.72</v>
      </c>
      <c r="G34" s="19">
        <f>Table2[[#This Row],[profit]]/Table2[[#This Row],[operating cost]]</f>
        <v>0.4081367422031712</v>
      </c>
    </row>
    <row r="35" spans="1:7" x14ac:dyDescent="0.25">
      <c r="A35" s="11" t="s">
        <v>7</v>
      </c>
      <c r="B35" s="8">
        <v>55493.95</v>
      </c>
      <c r="C35" s="8">
        <v>103057.49</v>
      </c>
      <c r="D35" s="8">
        <v>214634.81</v>
      </c>
      <c r="E35" s="8">
        <v>96778.92</v>
      </c>
      <c r="F35" s="9">
        <f t="shared" si="0"/>
        <v>373186.25</v>
      </c>
      <c r="G35" s="19">
        <f>Table2[[#This Row],[profit]]/Table2[[#This Row],[operating cost]]</f>
        <v>0.25933141963295808</v>
      </c>
    </row>
    <row r="36" spans="1:7" x14ac:dyDescent="0.25">
      <c r="A36" s="10" t="s">
        <v>6</v>
      </c>
      <c r="B36" s="6">
        <v>46426.07</v>
      </c>
      <c r="C36" s="6">
        <v>157693.92000000001</v>
      </c>
      <c r="D36" s="6">
        <v>210797.67</v>
      </c>
      <c r="E36" s="6">
        <v>96712.8</v>
      </c>
      <c r="F36" s="7">
        <f t="shared" si="0"/>
        <v>414917.66000000003</v>
      </c>
      <c r="G36" s="19">
        <f>Table2[[#This Row],[profit]]/Table2[[#This Row],[operating cost]]</f>
        <v>0.23308913869802503</v>
      </c>
    </row>
    <row r="37" spans="1:7" x14ac:dyDescent="0.25">
      <c r="A37" s="11" t="s">
        <v>5</v>
      </c>
      <c r="B37" s="8">
        <v>46014.02</v>
      </c>
      <c r="C37" s="8">
        <v>85047.44</v>
      </c>
      <c r="D37" s="8">
        <v>205517.64</v>
      </c>
      <c r="E37" s="8">
        <v>96479.51</v>
      </c>
      <c r="F37" s="9">
        <f t="shared" si="0"/>
        <v>336579.1</v>
      </c>
      <c r="G37" s="19">
        <f>Table2[[#This Row],[profit]]/Table2[[#This Row],[operating cost]]</f>
        <v>0.28664735867437996</v>
      </c>
    </row>
    <row r="38" spans="1:7" x14ac:dyDescent="0.25">
      <c r="A38" s="10" t="s">
        <v>7</v>
      </c>
      <c r="B38" s="6">
        <v>28663.759999999998</v>
      </c>
      <c r="C38" s="6">
        <v>127056.21</v>
      </c>
      <c r="D38" s="6">
        <v>201126.82</v>
      </c>
      <c r="E38" s="6">
        <v>90708.19</v>
      </c>
      <c r="F38" s="7">
        <f t="shared" si="0"/>
        <v>356846.79000000004</v>
      </c>
      <c r="G38" s="19">
        <f>Table2[[#This Row],[profit]]/Table2[[#This Row],[operating cost]]</f>
        <v>0.25419365549007739</v>
      </c>
    </row>
    <row r="39" spans="1:7" x14ac:dyDescent="0.25">
      <c r="A39" s="11" t="s">
        <v>6</v>
      </c>
      <c r="B39" s="8">
        <v>44069.95</v>
      </c>
      <c r="C39" s="8">
        <v>51283.14</v>
      </c>
      <c r="D39" s="8">
        <v>197029.42</v>
      </c>
      <c r="E39" s="8">
        <v>89949.14</v>
      </c>
      <c r="F39" s="9">
        <f t="shared" si="0"/>
        <v>292382.51</v>
      </c>
      <c r="G39" s="19">
        <f>Table2[[#This Row],[profit]]/Table2[[#This Row],[operating cost]]</f>
        <v>0.30764199951631854</v>
      </c>
    </row>
    <row r="40" spans="1:7" x14ac:dyDescent="0.25">
      <c r="A40" s="10" t="s">
        <v>5</v>
      </c>
      <c r="B40" s="6">
        <v>20229.59</v>
      </c>
      <c r="C40" s="6">
        <v>65947.929999999993</v>
      </c>
      <c r="D40" s="6">
        <v>185265.1</v>
      </c>
      <c r="E40" s="6">
        <v>81229.06</v>
      </c>
      <c r="F40" s="7">
        <f t="shared" si="0"/>
        <v>271442.62</v>
      </c>
      <c r="G40" s="19">
        <f>Table2[[#This Row],[profit]]/Table2[[#This Row],[operating cost]]</f>
        <v>0.29924946937220104</v>
      </c>
    </row>
    <row r="41" spans="1:7" x14ac:dyDescent="0.25">
      <c r="A41" s="11" t="s">
        <v>6</v>
      </c>
      <c r="B41" s="8">
        <v>38558.51</v>
      </c>
      <c r="C41" s="8">
        <v>82982.09</v>
      </c>
      <c r="D41" s="8">
        <v>174999.3</v>
      </c>
      <c r="E41" s="8">
        <v>81005.759999999995</v>
      </c>
      <c r="F41" s="9">
        <f t="shared" si="0"/>
        <v>296539.90000000002</v>
      </c>
      <c r="G41" s="19">
        <f>Table2[[#This Row],[profit]]/Table2[[#This Row],[operating cost]]</f>
        <v>0.27316984999320493</v>
      </c>
    </row>
    <row r="42" spans="1:7" x14ac:dyDescent="0.25">
      <c r="A42" s="10" t="s">
        <v>6</v>
      </c>
      <c r="B42" s="6">
        <v>28754.33</v>
      </c>
      <c r="C42" s="6">
        <v>118546.05</v>
      </c>
      <c r="D42" s="6">
        <v>172795.67</v>
      </c>
      <c r="E42" s="6">
        <v>78239.91</v>
      </c>
      <c r="F42" s="7">
        <f t="shared" si="0"/>
        <v>320096.05000000005</v>
      </c>
      <c r="G42" s="19">
        <f>Table2[[#This Row],[profit]]/Table2[[#This Row],[operating cost]]</f>
        <v>0.24442635265258661</v>
      </c>
    </row>
    <row r="43" spans="1:7" x14ac:dyDescent="0.25">
      <c r="A43" s="11" t="s">
        <v>7</v>
      </c>
      <c r="B43" s="8">
        <v>27892.92</v>
      </c>
      <c r="C43" s="8">
        <v>84710.77</v>
      </c>
      <c r="D43" s="8">
        <v>164470.71</v>
      </c>
      <c r="E43" s="8">
        <v>77798.83</v>
      </c>
      <c r="F43" s="9">
        <f t="shared" si="0"/>
        <v>277074.40000000002</v>
      </c>
      <c r="G43" s="19">
        <f>Table2[[#This Row],[profit]]/Table2[[#This Row],[operating cost]]</f>
        <v>0.2807867850656719</v>
      </c>
    </row>
    <row r="44" spans="1:7" x14ac:dyDescent="0.25">
      <c r="A44" s="10" t="s">
        <v>6</v>
      </c>
      <c r="B44" s="6">
        <v>23640.93</v>
      </c>
      <c r="C44" s="6">
        <v>96189.63</v>
      </c>
      <c r="D44" s="6">
        <v>148001.10999999999</v>
      </c>
      <c r="E44" s="6">
        <v>71498.490000000005</v>
      </c>
      <c r="F44" s="7">
        <f t="shared" si="0"/>
        <v>267831.67</v>
      </c>
      <c r="G44" s="19">
        <f>Table2[[#This Row],[profit]]/Table2[[#This Row],[operating cost]]</f>
        <v>0.26695308288224467</v>
      </c>
    </row>
    <row r="45" spans="1:7" x14ac:dyDescent="0.25">
      <c r="A45" s="11" t="s">
        <v>5</v>
      </c>
      <c r="B45" s="8">
        <v>15505.73</v>
      </c>
      <c r="C45" s="8">
        <v>127382.3</v>
      </c>
      <c r="D45" s="8">
        <v>35534.17</v>
      </c>
      <c r="E45" s="8">
        <v>69758.98</v>
      </c>
      <c r="F45" s="9">
        <f t="shared" si="0"/>
        <v>178422.2</v>
      </c>
      <c r="G45" s="19">
        <f>Table2[[#This Row],[profit]]/Table2[[#This Row],[operating cost]]</f>
        <v>0.39097701967580262</v>
      </c>
    </row>
    <row r="46" spans="1:7" x14ac:dyDescent="0.25">
      <c r="A46" s="10" t="s">
        <v>6</v>
      </c>
      <c r="B46" s="6">
        <v>22177.74</v>
      </c>
      <c r="C46" s="6">
        <v>154806.14000000001</v>
      </c>
      <c r="D46" s="6">
        <v>28334.720000000001</v>
      </c>
      <c r="E46" s="6">
        <v>65200.33</v>
      </c>
      <c r="F46" s="7">
        <f t="shared" si="0"/>
        <v>205318.6</v>
      </c>
      <c r="G46" s="19">
        <f>Table2[[#This Row],[profit]]/Table2[[#This Row],[operating cost]]</f>
        <v>0.31755686041108794</v>
      </c>
    </row>
    <row r="47" spans="1:7" x14ac:dyDescent="0.25">
      <c r="A47" s="11" t="s">
        <v>5</v>
      </c>
      <c r="B47" s="8">
        <v>1000.23</v>
      </c>
      <c r="C47" s="8">
        <v>124153.04</v>
      </c>
      <c r="D47" s="8">
        <v>1903.93</v>
      </c>
      <c r="E47" s="8">
        <v>64926.080000000002</v>
      </c>
      <c r="F47" s="9">
        <f t="shared" si="0"/>
        <v>127057.19999999998</v>
      </c>
      <c r="G47" s="19">
        <f>Table2[[#This Row],[profit]]/Table2[[#This Row],[operating cost]]</f>
        <v>0.51099882572573618</v>
      </c>
    </row>
    <row r="48" spans="1:7" x14ac:dyDescent="0.25">
      <c r="A48" s="10" t="s">
        <v>7</v>
      </c>
      <c r="B48" s="6">
        <v>1315.46</v>
      </c>
      <c r="C48" s="6">
        <v>115816.21</v>
      </c>
      <c r="D48" s="6">
        <v>297114.46000000002</v>
      </c>
      <c r="E48" s="6">
        <v>49490.75</v>
      </c>
      <c r="F48" s="7">
        <f t="shared" si="0"/>
        <v>414246.13</v>
      </c>
      <c r="G48" s="19">
        <f>Table2[[#This Row],[profit]]/Table2[[#This Row],[operating cost]]</f>
        <v>0.11947184636341684</v>
      </c>
    </row>
    <row r="49" spans="1:7" x14ac:dyDescent="0.25">
      <c r="A49" s="11" t="s">
        <v>6</v>
      </c>
      <c r="B49" s="8">
        <v>0</v>
      </c>
      <c r="C49" s="8">
        <v>135426.92000000001</v>
      </c>
      <c r="D49" s="8">
        <v>0</v>
      </c>
      <c r="E49" s="8">
        <v>42559.73</v>
      </c>
      <c r="F49" s="9">
        <f t="shared" si="0"/>
        <v>135426.92000000001</v>
      </c>
      <c r="G49" s="19">
        <f>Table2[[#This Row],[profit]]/Table2[[#This Row],[operating cost]]</f>
        <v>0.31426344186222355</v>
      </c>
    </row>
    <row r="50" spans="1:7" x14ac:dyDescent="0.25">
      <c r="A50" s="10" t="s">
        <v>5</v>
      </c>
      <c r="B50" s="6">
        <v>542.04999999999995</v>
      </c>
      <c r="C50" s="6">
        <v>51743.15</v>
      </c>
      <c r="D50" s="6">
        <v>0</v>
      </c>
      <c r="E50" s="6">
        <v>35673.410000000003</v>
      </c>
      <c r="F50" s="7">
        <f t="shared" si="0"/>
        <v>52285.200000000004</v>
      </c>
      <c r="G50" s="19">
        <f>Table2[[#This Row],[profit]]/Table2[[#This Row],[operating cost]]</f>
        <v>0.68228504433376946</v>
      </c>
    </row>
    <row r="51" spans="1:7" x14ac:dyDescent="0.25">
      <c r="A51" s="11" t="s">
        <v>6</v>
      </c>
      <c r="B51" s="8">
        <v>0</v>
      </c>
      <c r="C51" s="8">
        <v>116983.8</v>
      </c>
      <c r="D51" s="8">
        <v>45173.06</v>
      </c>
      <c r="E51" s="8">
        <v>14681.4</v>
      </c>
      <c r="F51" s="9">
        <f t="shared" si="0"/>
        <v>162156.85999999999</v>
      </c>
      <c r="G51" s="19">
        <f>Table2[[#This Row],[profit]]/Table2[[#This Row],[operating cost]]</f>
        <v>9.0538260299317594E-2</v>
      </c>
    </row>
    <row r="52" spans="1:7" x14ac:dyDescent="0.25">
      <c r="A52" s="10" t="s">
        <v>5</v>
      </c>
      <c r="B52" s="6">
        <v>165349.20000000001</v>
      </c>
      <c r="C52" s="6">
        <v>136897.79999999999</v>
      </c>
      <c r="D52" s="6">
        <v>471784.1</v>
      </c>
      <c r="E52" s="6">
        <v>192261.83</v>
      </c>
      <c r="F52" s="7">
        <f t="shared" si="0"/>
        <v>774031.1</v>
      </c>
      <c r="G52" s="19">
        <f>Table2[[#This Row],[profit]]/Table2[[#This Row],[operating cost]]</f>
        <v>0.24839031661647704</v>
      </c>
    </row>
    <row r="53" spans="1:7" x14ac:dyDescent="0.25">
      <c r="A53" s="11" t="s">
        <v>6</v>
      </c>
      <c r="B53" s="8">
        <v>162597.70000000001</v>
      </c>
      <c r="C53" s="8">
        <v>151377.59</v>
      </c>
      <c r="D53" s="8">
        <v>443898.53</v>
      </c>
      <c r="E53" s="8">
        <v>191792.06</v>
      </c>
      <c r="F53" s="9">
        <f t="shared" si="0"/>
        <v>757873.82000000007</v>
      </c>
      <c r="G53" s="19">
        <f>Table2[[#This Row],[profit]]/Table2[[#This Row],[operating cost]]</f>
        <v>0.25306595232435919</v>
      </c>
    </row>
    <row r="54" spans="1:7" x14ac:dyDescent="0.25">
      <c r="A54" s="10" t="s">
        <v>7</v>
      </c>
      <c r="B54" s="6">
        <v>153441.51</v>
      </c>
      <c r="C54" s="6">
        <v>101145.55</v>
      </c>
      <c r="D54" s="6">
        <v>407934.54</v>
      </c>
      <c r="E54" s="6">
        <v>191050.39</v>
      </c>
      <c r="F54" s="7">
        <f t="shared" si="0"/>
        <v>662521.59999999998</v>
      </c>
      <c r="G54" s="19">
        <f>Table2[[#This Row],[profit]]/Table2[[#This Row],[operating cost]]</f>
        <v>0.28836854526705247</v>
      </c>
    </row>
    <row r="55" spans="1:7" x14ac:dyDescent="0.25">
      <c r="A55" s="11" t="s">
        <v>5</v>
      </c>
      <c r="B55" s="8">
        <v>144372.41</v>
      </c>
      <c r="C55" s="8">
        <v>118671.85</v>
      </c>
      <c r="D55" s="8">
        <v>383199.62</v>
      </c>
      <c r="E55" s="8">
        <v>182901.99</v>
      </c>
      <c r="F55" s="9">
        <f t="shared" si="0"/>
        <v>646243.88</v>
      </c>
      <c r="G55" s="19">
        <f>Table2[[#This Row],[profit]]/Table2[[#This Row],[operating cost]]</f>
        <v>0.28302316766233826</v>
      </c>
    </row>
    <row r="56" spans="1:7" x14ac:dyDescent="0.25">
      <c r="A56" s="10" t="s">
        <v>7</v>
      </c>
      <c r="B56" s="6">
        <v>142107.34</v>
      </c>
      <c r="C56" s="6">
        <v>91391.77</v>
      </c>
      <c r="D56" s="6">
        <v>366168.42</v>
      </c>
      <c r="E56" s="6">
        <v>166187.94</v>
      </c>
      <c r="F56" s="7">
        <f t="shared" si="0"/>
        <v>599667.53</v>
      </c>
      <c r="G56" s="19">
        <f>Table2[[#This Row],[profit]]/Table2[[#This Row],[operating cost]]</f>
        <v>0.27713346427144386</v>
      </c>
    </row>
    <row r="57" spans="1:7" x14ac:dyDescent="0.25">
      <c r="A57" s="11" t="s">
        <v>5</v>
      </c>
      <c r="B57" s="8">
        <v>131876.9</v>
      </c>
      <c r="C57" s="8">
        <v>99814.71</v>
      </c>
      <c r="D57" s="8">
        <v>362861.36</v>
      </c>
      <c r="E57" s="8">
        <v>156991.12</v>
      </c>
      <c r="F57" s="9">
        <f t="shared" si="0"/>
        <v>594552.97</v>
      </c>
      <c r="G57" s="19">
        <f>Table2[[#This Row],[profit]]/Table2[[#This Row],[operating cost]]</f>
        <v>0.26404900475057758</v>
      </c>
    </row>
    <row r="58" spans="1:7" x14ac:dyDescent="0.25">
      <c r="A58" s="10" t="s">
        <v>6</v>
      </c>
      <c r="B58" s="6">
        <v>134615.46</v>
      </c>
      <c r="C58" s="6">
        <v>147198.87</v>
      </c>
      <c r="D58" s="6">
        <v>127716.82</v>
      </c>
      <c r="E58" s="6">
        <v>156122.51</v>
      </c>
      <c r="F58" s="7">
        <f t="shared" si="0"/>
        <v>409531.14999999997</v>
      </c>
      <c r="G58" s="19">
        <f>Table2[[#This Row],[profit]]/Table2[[#This Row],[operating cost]]</f>
        <v>0.38122255169112296</v>
      </c>
    </row>
    <row r="59" spans="1:7" x14ac:dyDescent="0.25">
      <c r="A59" s="11" t="s">
        <v>7</v>
      </c>
      <c r="B59" s="8">
        <v>130298.13</v>
      </c>
      <c r="C59" s="8">
        <v>145530.06</v>
      </c>
      <c r="D59" s="8">
        <v>323876.68</v>
      </c>
      <c r="E59" s="8">
        <v>155752.6</v>
      </c>
      <c r="F59" s="9">
        <f t="shared" si="0"/>
        <v>599704.87</v>
      </c>
      <c r="G59" s="19">
        <f>Table2[[#This Row],[profit]]/Table2[[#This Row],[operating cost]]</f>
        <v>0.25971541635137962</v>
      </c>
    </row>
    <row r="60" spans="1:7" x14ac:dyDescent="0.25">
      <c r="A60" s="10" t="s">
        <v>5</v>
      </c>
      <c r="B60" s="6">
        <v>120542.52</v>
      </c>
      <c r="C60" s="6">
        <v>148718.95000000001</v>
      </c>
      <c r="D60" s="6">
        <v>311613.28999999998</v>
      </c>
      <c r="E60" s="6">
        <v>152211.76999999999</v>
      </c>
      <c r="F60" s="7">
        <f t="shared" si="0"/>
        <v>580874.76</v>
      </c>
      <c r="G60" s="19">
        <f>Table2[[#This Row],[profit]]/Table2[[#This Row],[operating cost]]</f>
        <v>0.26203887736489012</v>
      </c>
    </row>
    <row r="61" spans="1:7" x14ac:dyDescent="0.25">
      <c r="A61" s="11" t="s">
        <v>6</v>
      </c>
      <c r="B61" s="8">
        <v>123334.88</v>
      </c>
      <c r="C61" s="8">
        <v>108679.17</v>
      </c>
      <c r="D61" s="8">
        <v>304981.62</v>
      </c>
      <c r="E61" s="8">
        <v>149759.96</v>
      </c>
      <c r="F61" s="9">
        <f t="shared" si="0"/>
        <v>536995.66999999993</v>
      </c>
      <c r="G61" s="19">
        <f>Table2[[#This Row],[profit]]/Table2[[#This Row],[operating cost]]</f>
        <v>0.27888485581271077</v>
      </c>
    </row>
    <row r="62" spans="1:7" x14ac:dyDescent="0.25">
      <c r="A62" s="10" t="s">
        <v>5</v>
      </c>
      <c r="B62" s="6">
        <v>165349.20000000001</v>
      </c>
      <c r="C62" s="6">
        <v>136897.79999999999</v>
      </c>
      <c r="D62" s="6">
        <v>471784.1</v>
      </c>
      <c r="E62" s="6">
        <v>192261.83</v>
      </c>
      <c r="F62" s="7">
        <f t="shared" si="0"/>
        <v>774031.1</v>
      </c>
      <c r="G62" s="19">
        <f>Table2[[#This Row],[profit]]/Table2[[#This Row],[operating cost]]</f>
        <v>0.24839031661647704</v>
      </c>
    </row>
    <row r="63" spans="1:7" x14ac:dyDescent="0.25">
      <c r="A63" s="11" t="s">
        <v>6</v>
      </c>
      <c r="B63" s="8">
        <v>162597.70000000001</v>
      </c>
      <c r="C63" s="8">
        <v>151377.59</v>
      </c>
      <c r="D63" s="8">
        <v>443898.53</v>
      </c>
      <c r="E63" s="8">
        <v>191792.06</v>
      </c>
      <c r="F63" s="9">
        <f t="shared" si="0"/>
        <v>757873.82000000007</v>
      </c>
      <c r="G63" s="19">
        <f>Table2[[#This Row],[profit]]/Table2[[#This Row],[operating cost]]</f>
        <v>0.25306595232435919</v>
      </c>
    </row>
    <row r="64" spans="1:7" x14ac:dyDescent="0.25">
      <c r="A64" s="10" t="s">
        <v>7</v>
      </c>
      <c r="B64" s="6">
        <v>153441.51</v>
      </c>
      <c r="C64" s="6">
        <v>101145.55</v>
      </c>
      <c r="D64" s="6">
        <v>407934.54</v>
      </c>
      <c r="E64" s="6">
        <v>191050.39</v>
      </c>
      <c r="F64" s="7">
        <f t="shared" si="0"/>
        <v>662521.59999999998</v>
      </c>
      <c r="G64" s="19">
        <f>Table2[[#This Row],[profit]]/Table2[[#This Row],[operating cost]]</f>
        <v>0.28836854526705247</v>
      </c>
    </row>
    <row r="65" spans="1:7" x14ac:dyDescent="0.25">
      <c r="A65" s="11" t="s">
        <v>5</v>
      </c>
      <c r="B65" s="8">
        <v>144372.41</v>
      </c>
      <c r="C65" s="8">
        <v>118671.85</v>
      </c>
      <c r="D65" s="8">
        <v>383199.62</v>
      </c>
      <c r="E65" s="8">
        <v>182901.99</v>
      </c>
      <c r="F65" s="9">
        <f t="shared" si="0"/>
        <v>646243.88</v>
      </c>
      <c r="G65" s="19">
        <f>Table2[[#This Row],[profit]]/Table2[[#This Row],[operating cost]]</f>
        <v>0.28302316766233826</v>
      </c>
    </row>
    <row r="66" spans="1:7" x14ac:dyDescent="0.25">
      <c r="A66" s="10" t="s">
        <v>7</v>
      </c>
      <c r="B66" s="6">
        <v>142107.34</v>
      </c>
      <c r="C66" s="6">
        <v>91391.77</v>
      </c>
      <c r="D66" s="6">
        <v>366168.42</v>
      </c>
      <c r="E66" s="6">
        <v>166187.94</v>
      </c>
      <c r="F66" s="7">
        <f t="shared" ref="F66:F129" si="1">SUM(B66:D66)</f>
        <v>599667.53</v>
      </c>
      <c r="G66" s="19">
        <f>Table2[[#This Row],[profit]]/Table2[[#This Row],[operating cost]]</f>
        <v>0.27713346427144386</v>
      </c>
    </row>
    <row r="67" spans="1:7" x14ac:dyDescent="0.25">
      <c r="A67" s="11" t="s">
        <v>5</v>
      </c>
      <c r="B67" s="8">
        <v>131876.9</v>
      </c>
      <c r="C67" s="8">
        <v>99814.71</v>
      </c>
      <c r="D67" s="8">
        <v>362861.36</v>
      </c>
      <c r="E67" s="8">
        <v>156991.12</v>
      </c>
      <c r="F67" s="9">
        <f t="shared" si="1"/>
        <v>594552.97</v>
      </c>
      <c r="G67" s="19">
        <f>Table2[[#This Row],[profit]]/Table2[[#This Row],[operating cost]]</f>
        <v>0.26404900475057758</v>
      </c>
    </row>
    <row r="68" spans="1:7" x14ac:dyDescent="0.25">
      <c r="A68" s="10" t="s">
        <v>6</v>
      </c>
      <c r="B68" s="6">
        <v>134615.46</v>
      </c>
      <c r="C68" s="6">
        <v>147198.87</v>
      </c>
      <c r="D68" s="6">
        <v>127716.82</v>
      </c>
      <c r="E68" s="6">
        <v>156122.51</v>
      </c>
      <c r="F68" s="7">
        <f t="shared" si="1"/>
        <v>409531.14999999997</v>
      </c>
      <c r="G68" s="19">
        <f>Table2[[#This Row],[profit]]/Table2[[#This Row],[operating cost]]</f>
        <v>0.38122255169112296</v>
      </c>
    </row>
    <row r="69" spans="1:7" x14ac:dyDescent="0.25">
      <c r="A69" s="11" t="s">
        <v>7</v>
      </c>
      <c r="B69" s="8">
        <v>130298.13</v>
      </c>
      <c r="C69" s="8">
        <v>145530.06</v>
      </c>
      <c r="D69" s="8">
        <v>323876.68</v>
      </c>
      <c r="E69" s="8">
        <v>155752.6</v>
      </c>
      <c r="F69" s="9">
        <f t="shared" si="1"/>
        <v>599704.87</v>
      </c>
      <c r="G69" s="19">
        <f>Table2[[#This Row],[profit]]/Table2[[#This Row],[operating cost]]</f>
        <v>0.25971541635137962</v>
      </c>
    </row>
    <row r="70" spans="1:7" x14ac:dyDescent="0.25">
      <c r="A70" s="10" t="s">
        <v>5</v>
      </c>
      <c r="B70" s="6">
        <v>120542.52</v>
      </c>
      <c r="C70" s="6">
        <v>148718.95000000001</v>
      </c>
      <c r="D70" s="6">
        <v>311613.28999999998</v>
      </c>
      <c r="E70" s="6">
        <v>152211.76999999999</v>
      </c>
      <c r="F70" s="7">
        <f t="shared" si="1"/>
        <v>580874.76</v>
      </c>
      <c r="G70" s="19">
        <f>Table2[[#This Row],[profit]]/Table2[[#This Row],[operating cost]]</f>
        <v>0.26203887736489012</v>
      </c>
    </row>
    <row r="71" spans="1:7" x14ac:dyDescent="0.25">
      <c r="A71" s="11" t="s">
        <v>6</v>
      </c>
      <c r="B71" s="8">
        <v>123334.88</v>
      </c>
      <c r="C71" s="8">
        <v>108679.17</v>
      </c>
      <c r="D71" s="8">
        <v>304981.62</v>
      </c>
      <c r="E71" s="8">
        <v>149759.96</v>
      </c>
      <c r="F71" s="9">
        <f t="shared" si="1"/>
        <v>536995.66999999993</v>
      </c>
      <c r="G71" s="19">
        <f>Table2[[#This Row],[profit]]/Table2[[#This Row],[operating cost]]</f>
        <v>0.27888485581271077</v>
      </c>
    </row>
    <row r="72" spans="1:7" x14ac:dyDescent="0.25">
      <c r="A72" s="10" t="s">
        <v>7</v>
      </c>
      <c r="B72" s="6">
        <v>109669.89</v>
      </c>
      <c r="C72" s="6">
        <v>91790.61</v>
      </c>
      <c r="D72" s="6">
        <v>249744.55</v>
      </c>
      <c r="E72" s="6">
        <v>146121.95000000001</v>
      </c>
      <c r="F72" s="7">
        <f t="shared" si="1"/>
        <v>451205.05</v>
      </c>
      <c r="G72" s="19">
        <f>Table2[[#This Row],[profit]]/Table2[[#This Row],[operating cost]]</f>
        <v>0.32384821490805571</v>
      </c>
    </row>
    <row r="73" spans="1:7" x14ac:dyDescent="0.25">
      <c r="A73" s="11" t="s">
        <v>8</v>
      </c>
      <c r="B73" s="8">
        <v>775784.99</v>
      </c>
      <c r="C73" s="8">
        <v>52350.9</v>
      </c>
      <c r="D73" s="8">
        <v>80389</v>
      </c>
      <c r="E73" s="8">
        <v>1513476.99</v>
      </c>
      <c r="F73" s="9">
        <f t="shared" si="1"/>
        <v>908524.89</v>
      </c>
      <c r="G73" s="19">
        <f>Table2[[#This Row],[profit]]/Table2[[#This Row],[operating cost]]</f>
        <v>1.6658618895955619</v>
      </c>
    </row>
    <row r="74" spans="1:7" x14ac:dyDescent="0.25">
      <c r="A74" s="10" t="s">
        <v>9</v>
      </c>
      <c r="B74" s="6">
        <v>1122042.99</v>
      </c>
      <c r="C74" s="6">
        <v>100415.9</v>
      </c>
      <c r="D74" s="6">
        <v>82176</v>
      </c>
      <c r="E74" s="6">
        <v>2879103.99</v>
      </c>
      <c r="F74" s="7">
        <f t="shared" si="1"/>
        <v>1304634.8899999999</v>
      </c>
      <c r="G74" s="19">
        <f>Table2[[#This Row],[profit]]/Table2[[#This Row],[operating cost]]</f>
        <v>2.2068273752819842</v>
      </c>
    </row>
    <row r="75" spans="1:7" x14ac:dyDescent="0.25">
      <c r="A75" s="11" t="s">
        <v>10</v>
      </c>
      <c r="B75" s="8">
        <v>753705.99</v>
      </c>
      <c r="C75" s="8">
        <v>135318.9</v>
      </c>
      <c r="D75" s="8">
        <v>119221</v>
      </c>
      <c r="E75" s="8">
        <v>2187155.9900000002</v>
      </c>
      <c r="F75" s="9">
        <f t="shared" si="1"/>
        <v>1008245.89</v>
      </c>
      <c r="G75" s="19">
        <f>Table2[[#This Row],[profit]]/Table2[[#This Row],[operating cost]]</f>
        <v>2.1692684410545926</v>
      </c>
    </row>
    <row r="76" spans="1:7" x14ac:dyDescent="0.25">
      <c r="A76" s="10" t="s">
        <v>11</v>
      </c>
      <c r="B76" s="6">
        <v>1081346.99</v>
      </c>
      <c r="C76" s="6">
        <v>104034.9</v>
      </c>
      <c r="D76" s="6">
        <v>111462</v>
      </c>
      <c r="E76" s="6">
        <v>2129557.9900000002</v>
      </c>
      <c r="F76" s="7">
        <f t="shared" si="1"/>
        <v>1296843.8899999999</v>
      </c>
      <c r="G76" s="19">
        <f>Table2[[#This Row],[profit]]/Table2[[#This Row],[operating cost]]</f>
        <v>1.6421082031700827</v>
      </c>
    </row>
    <row r="77" spans="1:7" x14ac:dyDescent="0.25">
      <c r="A77" s="11" t="s">
        <v>12</v>
      </c>
      <c r="B77" s="8">
        <v>1661861.99</v>
      </c>
      <c r="C77" s="8">
        <v>125474.9</v>
      </c>
      <c r="D77" s="8">
        <v>106219</v>
      </c>
      <c r="E77" s="8">
        <v>2626991.9900000002</v>
      </c>
      <c r="F77" s="9">
        <f t="shared" si="1"/>
        <v>1893555.89</v>
      </c>
      <c r="G77" s="19">
        <f>Table2[[#This Row],[profit]]/Table2[[#This Row],[operating cost]]</f>
        <v>1.3873326918277551</v>
      </c>
    </row>
    <row r="78" spans="1:7" x14ac:dyDescent="0.25">
      <c r="A78" s="10" t="s">
        <v>13</v>
      </c>
      <c r="B78" s="6">
        <v>1313644.99</v>
      </c>
      <c r="C78" s="6">
        <v>115013.9</v>
      </c>
      <c r="D78" s="6">
        <v>43392</v>
      </c>
      <c r="E78" s="6">
        <v>581341.99</v>
      </c>
      <c r="F78" s="7">
        <f t="shared" si="1"/>
        <v>1472050.89</v>
      </c>
      <c r="G78" s="19">
        <f>Table2[[#This Row],[profit]]/Table2[[#This Row],[operating cost]]</f>
        <v>0.39491976394919337</v>
      </c>
    </row>
    <row r="79" spans="1:7" x14ac:dyDescent="0.25">
      <c r="A79" s="11" t="s">
        <v>6</v>
      </c>
      <c r="B79" s="8">
        <v>1445111.99</v>
      </c>
      <c r="C79" s="8">
        <v>107952.9</v>
      </c>
      <c r="D79" s="8">
        <v>94640</v>
      </c>
      <c r="E79" s="8">
        <v>387174.99</v>
      </c>
      <c r="F79" s="9">
        <f t="shared" si="1"/>
        <v>1647704.89</v>
      </c>
      <c r="G79" s="19">
        <f>Table2[[#This Row],[profit]]/Table2[[#This Row],[operating cost]]</f>
        <v>0.23497835829084662</v>
      </c>
    </row>
    <row r="80" spans="1:7" x14ac:dyDescent="0.25">
      <c r="A80" s="10" t="s">
        <v>8</v>
      </c>
      <c r="B80" s="6">
        <v>1579216.99</v>
      </c>
      <c r="C80" s="6">
        <v>50958.9</v>
      </c>
      <c r="D80" s="6">
        <v>97575</v>
      </c>
      <c r="E80" s="6">
        <v>1589647.99</v>
      </c>
      <c r="F80" s="7">
        <f t="shared" si="1"/>
        <v>1727750.89</v>
      </c>
      <c r="G80" s="19">
        <f>Table2[[#This Row],[profit]]/Table2[[#This Row],[operating cost]]</f>
        <v>0.92006781718399233</v>
      </c>
    </row>
    <row r="81" spans="1:7" x14ac:dyDescent="0.25">
      <c r="A81" s="11" t="s">
        <v>14</v>
      </c>
      <c r="B81" s="8">
        <v>1116497.99</v>
      </c>
      <c r="C81" s="8">
        <v>110053.9</v>
      </c>
      <c r="D81" s="8">
        <v>82921</v>
      </c>
      <c r="E81" s="8">
        <v>134901.99</v>
      </c>
      <c r="F81" s="9">
        <f t="shared" si="1"/>
        <v>1309472.8899999999</v>
      </c>
      <c r="G81" s="19">
        <f>Table2[[#This Row],[profit]]/Table2[[#This Row],[operating cost]]</f>
        <v>0.10302007092334688</v>
      </c>
    </row>
    <row r="82" spans="1:7" x14ac:dyDescent="0.25">
      <c r="A82" s="10" t="s">
        <v>15</v>
      </c>
      <c r="B82" s="6">
        <v>709772.99</v>
      </c>
      <c r="C82" s="6">
        <v>95324.9</v>
      </c>
      <c r="D82" s="6">
        <v>66426</v>
      </c>
      <c r="E82" s="6">
        <v>233808.99</v>
      </c>
      <c r="F82" s="7">
        <f t="shared" si="1"/>
        <v>871523.89</v>
      </c>
      <c r="G82" s="19">
        <f>Table2[[#This Row],[profit]]/Table2[[#This Row],[operating cost]]</f>
        <v>0.26827605379813513</v>
      </c>
    </row>
    <row r="83" spans="1:7" x14ac:dyDescent="0.25">
      <c r="A83" s="11" t="s">
        <v>16</v>
      </c>
      <c r="B83" s="8">
        <v>1669163.99</v>
      </c>
      <c r="C83" s="8">
        <v>67254.899999999994</v>
      </c>
      <c r="D83" s="8">
        <v>71623</v>
      </c>
      <c r="E83" s="8">
        <v>299413.99</v>
      </c>
      <c r="F83" s="9">
        <f t="shared" si="1"/>
        <v>1808041.89</v>
      </c>
      <c r="G83" s="19">
        <f>Table2[[#This Row],[profit]]/Table2[[#This Row],[operating cost]]</f>
        <v>0.16560124610829674</v>
      </c>
    </row>
    <row r="84" spans="1:7" x14ac:dyDescent="0.25">
      <c r="A84" s="10" t="s">
        <v>17</v>
      </c>
      <c r="B84" s="6">
        <v>1903510.99</v>
      </c>
      <c r="C84" s="6">
        <v>79819.899999999994</v>
      </c>
      <c r="D84" s="6">
        <v>101469</v>
      </c>
      <c r="E84" s="6">
        <v>239037.99</v>
      </c>
      <c r="F84" s="7">
        <f t="shared" si="1"/>
        <v>2084799.89</v>
      </c>
      <c r="G84" s="19">
        <f>Table2[[#This Row],[profit]]/Table2[[#This Row],[operating cost]]</f>
        <v>0.11465752235817703</v>
      </c>
    </row>
    <row r="85" spans="1:7" x14ac:dyDescent="0.25">
      <c r="A85" s="11" t="s">
        <v>18</v>
      </c>
      <c r="B85" s="8">
        <v>1201179.99</v>
      </c>
      <c r="C85" s="8">
        <v>52316.9</v>
      </c>
      <c r="D85" s="8">
        <v>45498</v>
      </c>
      <c r="E85" s="8">
        <v>1750393.99</v>
      </c>
      <c r="F85" s="9">
        <f t="shared" si="1"/>
        <v>1298994.8899999999</v>
      </c>
      <c r="G85" s="19">
        <f>Table2[[#This Row],[profit]]/Table2[[#This Row],[operating cost]]</f>
        <v>1.3474987495909243</v>
      </c>
    </row>
    <row r="86" spans="1:7" x14ac:dyDescent="0.25">
      <c r="A86" s="10" t="s">
        <v>15</v>
      </c>
      <c r="B86" s="6">
        <v>1654682.99</v>
      </c>
      <c r="C86" s="6">
        <v>124855.9</v>
      </c>
      <c r="D86" s="6">
        <v>56673</v>
      </c>
      <c r="E86" s="6">
        <v>665469.99</v>
      </c>
      <c r="F86" s="7">
        <f t="shared" si="1"/>
        <v>1836211.89</v>
      </c>
      <c r="G86" s="19">
        <f>Table2[[#This Row],[profit]]/Table2[[#This Row],[operating cost]]</f>
        <v>0.36241459584492725</v>
      </c>
    </row>
    <row r="87" spans="1:7" x14ac:dyDescent="0.25">
      <c r="A87" s="11" t="s">
        <v>8</v>
      </c>
      <c r="B87" s="8">
        <v>1547195.99</v>
      </c>
      <c r="C87" s="8">
        <v>55176.9</v>
      </c>
      <c r="D87" s="8">
        <v>106472</v>
      </c>
      <c r="E87" s="8">
        <v>419373.99</v>
      </c>
      <c r="F87" s="9">
        <f t="shared" si="1"/>
        <v>1708844.89</v>
      </c>
      <c r="G87" s="19">
        <f>Table2[[#This Row],[profit]]/Table2[[#This Row],[operating cost]]</f>
        <v>0.24541372505728123</v>
      </c>
    </row>
    <row r="88" spans="1:7" x14ac:dyDescent="0.25">
      <c r="A88" s="10" t="s">
        <v>19</v>
      </c>
      <c r="B88" s="6">
        <v>1346495.99</v>
      </c>
      <c r="C88" s="6">
        <v>89709.9</v>
      </c>
      <c r="D88" s="6">
        <v>51718</v>
      </c>
      <c r="E88" s="6">
        <v>2232578.9900000002</v>
      </c>
      <c r="F88" s="7">
        <f t="shared" si="1"/>
        <v>1487923.89</v>
      </c>
      <c r="G88" s="19">
        <f>Table2[[#This Row],[profit]]/Table2[[#This Row],[operating cost]]</f>
        <v>1.5004658538011648</v>
      </c>
    </row>
    <row r="89" spans="1:7" x14ac:dyDescent="0.25">
      <c r="A89" s="11" t="s">
        <v>20</v>
      </c>
      <c r="B89" s="8">
        <v>1832172.99</v>
      </c>
      <c r="C89" s="8">
        <v>59523.9</v>
      </c>
      <c r="D89" s="8">
        <v>67418</v>
      </c>
      <c r="E89" s="8">
        <v>2245508.9900000002</v>
      </c>
      <c r="F89" s="9">
        <f t="shared" si="1"/>
        <v>1959114.89</v>
      </c>
      <c r="G89" s="19">
        <f>Table2[[#This Row],[profit]]/Table2[[#This Row],[operating cost]]</f>
        <v>1.1461854541874266</v>
      </c>
    </row>
    <row r="90" spans="1:7" x14ac:dyDescent="0.25">
      <c r="A90" s="10" t="s">
        <v>21</v>
      </c>
      <c r="B90" s="6">
        <v>117151.989999999</v>
      </c>
      <c r="C90" s="6">
        <v>121389.9</v>
      </c>
      <c r="D90" s="6">
        <v>33288</v>
      </c>
      <c r="E90" s="6">
        <v>858384.99</v>
      </c>
      <c r="F90" s="7">
        <f t="shared" si="1"/>
        <v>271829.88999999897</v>
      </c>
      <c r="G90" s="19">
        <f>Table2[[#This Row],[profit]]/Table2[[#This Row],[operating cost]]</f>
        <v>3.1578020724652585</v>
      </c>
    </row>
    <row r="91" spans="1:7" x14ac:dyDescent="0.25">
      <c r="A91" s="11" t="s">
        <v>12</v>
      </c>
      <c r="B91" s="8">
        <v>1295519.99</v>
      </c>
      <c r="C91" s="8">
        <v>106251.9</v>
      </c>
      <c r="D91" s="8">
        <v>37622</v>
      </c>
      <c r="E91" s="8">
        <v>2388580.9900000002</v>
      </c>
      <c r="F91" s="9">
        <f t="shared" si="1"/>
        <v>1439393.89</v>
      </c>
      <c r="G91" s="19">
        <f>Table2[[#This Row],[profit]]/Table2[[#This Row],[operating cost]]</f>
        <v>1.6594352710500948</v>
      </c>
    </row>
    <row r="92" spans="1:7" x14ac:dyDescent="0.25">
      <c r="A92" s="10" t="s">
        <v>22</v>
      </c>
      <c r="B92" s="6">
        <v>1711575.99</v>
      </c>
      <c r="C92" s="6">
        <v>97299.9</v>
      </c>
      <c r="D92" s="6">
        <v>79083</v>
      </c>
      <c r="E92" s="6">
        <v>1662113.99</v>
      </c>
      <c r="F92" s="7">
        <f t="shared" si="1"/>
        <v>1887958.89</v>
      </c>
      <c r="G92" s="19">
        <f>Table2[[#This Row],[profit]]/Table2[[#This Row],[operating cost]]</f>
        <v>0.88037615586004636</v>
      </c>
    </row>
    <row r="93" spans="1:7" x14ac:dyDescent="0.25">
      <c r="A93" s="11" t="s">
        <v>8</v>
      </c>
      <c r="B93" s="8">
        <v>1800584.99</v>
      </c>
      <c r="C93" s="8">
        <v>131206.9</v>
      </c>
      <c r="D93" s="8">
        <v>96302</v>
      </c>
      <c r="E93" s="8">
        <v>2212633.9900000002</v>
      </c>
      <c r="F93" s="9">
        <f t="shared" si="1"/>
        <v>2028093.89</v>
      </c>
      <c r="G93" s="19">
        <f>Table2[[#This Row],[profit]]/Table2[[#This Row],[operating cost]]</f>
        <v>1.0909918918990482</v>
      </c>
    </row>
    <row r="94" spans="1:7" x14ac:dyDescent="0.25">
      <c r="A94" s="10" t="s">
        <v>17</v>
      </c>
      <c r="B94" s="6">
        <v>58249.99</v>
      </c>
      <c r="C94" s="6">
        <v>121450.9</v>
      </c>
      <c r="D94" s="6">
        <v>63779</v>
      </c>
      <c r="E94" s="6">
        <v>2773107.99</v>
      </c>
      <c r="F94" s="7">
        <f t="shared" si="1"/>
        <v>243479.88999999998</v>
      </c>
      <c r="G94" s="19">
        <f>Table2[[#This Row],[profit]]/Table2[[#This Row],[operating cost]]</f>
        <v>11.389474465427105</v>
      </c>
    </row>
    <row r="95" spans="1:7" x14ac:dyDescent="0.25">
      <c r="A95" s="11" t="s">
        <v>15</v>
      </c>
      <c r="B95" s="8">
        <v>1662821.99</v>
      </c>
      <c r="C95" s="8">
        <v>111347.9</v>
      </c>
      <c r="D95" s="8">
        <v>78968</v>
      </c>
      <c r="E95" s="8">
        <v>2758380.99</v>
      </c>
      <c r="F95" s="9">
        <f t="shared" si="1"/>
        <v>1853137.89</v>
      </c>
      <c r="G95" s="19">
        <f>Table2[[#This Row],[profit]]/Table2[[#This Row],[operating cost]]</f>
        <v>1.4884920355279123</v>
      </c>
    </row>
    <row r="96" spans="1:7" x14ac:dyDescent="0.25">
      <c r="A96" s="10" t="s">
        <v>17</v>
      </c>
      <c r="B96" s="6">
        <v>1984216.99</v>
      </c>
      <c r="C96" s="6">
        <v>134284.9</v>
      </c>
      <c r="D96" s="6">
        <v>42129</v>
      </c>
      <c r="E96" s="6">
        <v>2385104.9900000002</v>
      </c>
      <c r="F96" s="7">
        <f t="shared" si="1"/>
        <v>2160630.89</v>
      </c>
      <c r="G96" s="19">
        <f>Table2[[#This Row],[profit]]/Table2[[#This Row],[operating cost]]</f>
        <v>1.1038928495556222</v>
      </c>
    </row>
    <row r="97" spans="1:7" x14ac:dyDescent="0.25">
      <c r="A97" s="11" t="s">
        <v>15</v>
      </c>
      <c r="B97" s="8">
        <v>1512091.99</v>
      </c>
      <c r="C97" s="8">
        <v>85478.9</v>
      </c>
      <c r="D97" s="8">
        <v>119854</v>
      </c>
      <c r="E97" s="8">
        <v>1174263.99</v>
      </c>
      <c r="F97" s="9">
        <f t="shared" si="1"/>
        <v>1717424.89</v>
      </c>
      <c r="G97" s="19">
        <f>Table2[[#This Row],[profit]]/Table2[[#This Row],[operating cost]]</f>
        <v>0.68373528113942739</v>
      </c>
    </row>
    <row r="98" spans="1:7" x14ac:dyDescent="0.25">
      <c r="A98" s="10" t="s">
        <v>18</v>
      </c>
      <c r="B98" s="6">
        <v>1654271.99</v>
      </c>
      <c r="C98" s="6">
        <v>68951.899999999994</v>
      </c>
      <c r="D98" s="6">
        <v>66941</v>
      </c>
      <c r="E98" s="6">
        <v>1993485.99</v>
      </c>
      <c r="F98" s="7">
        <f t="shared" si="1"/>
        <v>1790164.89</v>
      </c>
      <c r="G98" s="19">
        <f>Table2[[#This Row],[profit]]/Table2[[#This Row],[operating cost]]</f>
        <v>1.1135767443187874</v>
      </c>
    </row>
    <row r="99" spans="1:7" x14ac:dyDescent="0.25">
      <c r="A99" s="11" t="s">
        <v>23</v>
      </c>
      <c r="B99" s="8">
        <v>1537783.99</v>
      </c>
      <c r="C99" s="8">
        <v>116063.9</v>
      </c>
      <c r="D99" s="8">
        <v>33838</v>
      </c>
      <c r="E99" s="8">
        <v>2933777.99</v>
      </c>
      <c r="F99" s="9">
        <f t="shared" si="1"/>
        <v>1687685.89</v>
      </c>
      <c r="G99" s="19">
        <f>Table2[[#This Row],[profit]]/Table2[[#This Row],[operating cost]]</f>
        <v>1.7383436144032705</v>
      </c>
    </row>
    <row r="100" spans="1:7" x14ac:dyDescent="0.25">
      <c r="A100" s="10" t="s">
        <v>24</v>
      </c>
      <c r="B100" s="6">
        <v>1582837.99</v>
      </c>
      <c r="C100" s="6">
        <v>132460.9</v>
      </c>
      <c r="D100" s="6">
        <v>105686</v>
      </c>
      <c r="E100" s="6">
        <v>2691899.99</v>
      </c>
      <c r="F100" s="7">
        <f t="shared" si="1"/>
        <v>1820984.89</v>
      </c>
      <c r="G100" s="19">
        <f>Table2[[#This Row],[profit]]/Table2[[#This Row],[operating cost]]</f>
        <v>1.4782659673798833</v>
      </c>
    </row>
    <row r="101" spans="1:7" x14ac:dyDescent="0.25">
      <c r="A101" s="11" t="s">
        <v>25</v>
      </c>
      <c r="B101" s="8">
        <v>1848578.99</v>
      </c>
      <c r="C101" s="8">
        <v>125606.9</v>
      </c>
      <c r="D101" s="8">
        <v>75807</v>
      </c>
      <c r="E101" s="8">
        <v>1015504.99</v>
      </c>
      <c r="F101" s="9">
        <f t="shared" si="1"/>
        <v>2049992.89</v>
      </c>
      <c r="G101" s="19">
        <f>Table2[[#This Row],[profit]]/Table2[[#This Row],[operating cost]]</f>
        <v>0.49537000589304486</v>
      </c>
    </row>
    <row r="102" spans="1:7" x14ac:dyDescent="0.25">
      <c r="A102" s="10" t="s">
        <v>26</v>
      </c>
      <c r="B102" s="6">
        <v>428588.99</v>
      </c>
      <c r="C102" s="6">
        <v>121691.9</v>
      </c>
      <c r="D102" s="6">
        <v>94738</v>
      </c>
      <c r="E102" s="6">
        <v>970840.99</v>
      </c>
      <c r="F102" s="7">
        <f t="shared" si="1"/>
        <v>645018.89</v>
      </c>
      <c r="G102" s="19">
        <f>Table2[[#This Row],[profit]]/Table2[[#This Row],[operating cost]]</f>
        <v>1.5051357488150463</v>
      </c>
    </row>
    <row r="103" spans="1:7" x14ac:dyDescent="0.25">
      <c r="A103" s="11" t="s">
        <v>27</v>
      </c>
      <c r="B103" s="8">
        <v>1912041.99</v>
      </c>
      <c r="C103" s="8">
        <v>132439.9</v>
      </c>
      <c r="D103" s="8">
        <v>81226</v>
      </c>
      <c r="E103" s="8">
        <v>1637394.99</v>
      </c>
      <c r="F103" s="9">
        <f t="shared" si="1"/>
        <v>2125707.8899999997</v>
      </c>
      <c r="G103" s="19">
        <f>Table2[[#This Row],[profit]]/Table2[[#This Row],[operating cost]]</f>
        <v>0.77028221878595005</v>
      </c>
    </row>
    <row r="104" spans="1:7" x14ac:dyDescent="0.25">
      <c r="A104" s="10" t="s">
        <v>12</v>
      </c>
      <c r="B104" s="6">
        <v>1021268.99</v>
      </c>
      <c r="C104" s="6">
        <v>81241.899999999994</v>
      </c>
      <c r="D104" s="6">
        <v>79473</v>
      </c>
      <c r="E104" s="6">
        <v>586863.99</v>
      </c>
      <c r="F104" s="7">
        <f t="shared" si="1"/>
        <v>1181983.8899999999</v>
      </c>
      <c r="G104" s="19">
        <f>Table2[[#This Row],[profit]]/Table2[[#This Row],[operating cost]]</f>
        <v>0.49650760468486593</v>
      </c>
    </row>
    <row r="105" spans="1:7" x14ac:dyDescent="0.25">
      <c r="A105" s="11" t="s">
        <v>28</v>
      </c>
      <c r="B105" s="8">
        <v>376431.99</v>
      </c>
      <c r="C105" s="8">
        <v>71866.899999999994</v>
      </c>
      <c r="D105" s="8">
        <v>69615</v>
      </c>
      <c r="E105" s="8">
        <v>859121.99</v>
      </c>
      <c r="F105" s="9">
        <f t="shared" si="1"/>
        <v>517913.89</v>
      </c>
      <c r="G105" s="19">
        <f>Table2[[#This Row],[profit]]/Table2[[#This Row],[operating cost]]</f>
        <v>1.6588124137778966</v>
      </c>
    </row>
    <row r="106" spans="1:7" x14ac:dyDescent="0.25">
      <c r="A106" s="10" t="s">
        <v>28</v>
      </c>
      <c r="B106" s="6">
        <v>1127721.99</v>
      </c>
      <c r="C106" s="6">
        <v>61467.9</v>
      </c>
      <c r="D106" s="6">
        <v>112405</v>
      </c>
      <c r="E106" s="6">
        <v>1655145.99</v>
      </c>
      <c r="F106" s="7">
        <f t="shared" si="1"/>
        <v>1301594.8899999999</v>
      </c>
      <c r="G106" s="19">
        <f>Table2[[#This Row],[profit]]/Table2[[#This Row],[operating cost]]</f>
        <v>1.2716291395397228</v>
      </c>
    </row>
    <row r="107" spans="1:7" x14ac:dyDescent="0.25">
      <c r="A107" s="11" t="s">
        <v>8</v>
      </c>
      <c r="B107" s="8">
        <v>1757511.99</v>
      </c>
      <c r="C107" s="8">
        <v>61351.9</v>
      </c>
      <c r="D107" s="8">
        <v>69894</v>
      </c>
      <c r="E107" s="8">
        <v>1484078.99</v>
      </c>
      <c r="F107" s="9">
        <f t="shared" si="1"/>
        <v>1888757.89</v>
      </c>
      <c r="G107" s="19">
        <f>Table2[[#This Row],[profit]]/Table2[[#This Row],[operating cost]]</f>
        <v>0.78574337021035556</v>
      </c>
    </row>
    <row r="108" spans="1:7" x14ac:dyDescent="0.25">
      <c r="A108" s="10" t="s">
        <v>29</v>
      </c>
      <c r="B108" s="6">
        <v>1172907.99</v>
      </c>
      <c r="C108" s="6">
        <v>68409.899999999994</v>
      </c>
      <c r="D108" s="6">
        <v>101154</v>
      </c>
      <c r="E108" s="6">
        <v>2167641.9900000002</v>
      </c>
      <c r="F108" s="7">
        <f t="shared" si="1"/>
        <v>1342471.89</v>
      </c>
      <c r="G108" s="19">
        <f>Table2[[#This Row],[profit]]/Table2[[#This Row],[operating cost]]</f>
        <v>1.6146647137617163</v>
      </c>
    </row>
    <row r="109" spans="1:7" x14ac:dyDescent="0.25">
      <c r="A109" s="11" t="s">
        <v>30</v>
      </c>
      <c r="B109" s="8">
        <v>1506211.99</v>
      </c>
      <c r="C109" s="8">
        <v>96731.9</v>
      </c>
      <c r="D109" s="8">
        <v>50984</v>
      </c>
      <c r="E109" s="8">
        <v>2589110.9900000002</v>
      </c>
      <c r="F109" s="9">
        <f t="shared" si="1"/>
        <v>1653927.89</v>
      </c>
      <c r="G109" s="19">
        <f>Table2[[#This Row],[profit]]/Table2[[#This Row],[operating cost]]</f>
        <v>1.5654316041553664</v>
      </c>
    </row>
    <row r="110" spans="1:7" x14ac:dyDescent="0.25">
      <c r="A110" s="10" t="s">
        <v>31</v>
      </c>
      <c r="B110" s="6">
        <v>782843.99</v>
      </c>
      <c r="C110" s="6">
        <v>122917.9</v>
      </c>
      <c r="D110" s="6">
        <v>44988</v>
      </c>
      <c r="E110" s="6">
        <v>359006.99</v>
      </c>
      <c r="F110" s="7">
        <f t="shared" si="1"/>
        <v>950749.89</v>
      </c>
      <c r="G110" s="19">
        <f>Table2[[#This Row],[profit]]/Table2[[#This Row],[operating cost]]</f>
        <v>0.37760403001466558</v>
      </c>
    </row>
    <row r="111" spans="1:7" x14ac:dyDescent="0.25">
      <c r="A111" s="11" t="s">
        <v>18</v>
      </c>
      <c r="B111" s="8">
        <v>1924554.99</v>
      </c>
      <c r="C111" s="8">
        <v>53382.9</v>
      </c>
      <c r="D111" s="8">
        <v>76287</v>
      </c>
      <c r="E111" s="8">
        <v>2524464.9900000002</v>
      </c>
      <c r="F111" s="9">
        <f t="shared" si="1"/>
        <v>2054224.89</v>
      </c>
      <c r="G111" s="19">
        <f>Table2[[#This Row],[profit]]/Table2[[#This Row],[operating cost]]</f>
        <v>1.2289136414854755</v>
      </c>
    </row>
    <row r="112" spans="1:7" x14ac:dyDescent="0.25">
      <c r="A112" s="10" t="s">
        <v>32</v>
      </c>
      <c r="B112" s="6">
        <v>786949.99</v>
      </c>
      <c r="C112" s="6">
        <v>86226.9</v>
      </c>
      <c r="D112" s="6">
        <v>117927</v>
      </c>
      <c r="E112" s="6">
        <v>520897.99</v>
      </c>
      <c r="F112" s="7">
        <f t="shared" si="1"/>
        <v>991103.89</v>
      </c>
      <c r="G112" s="19">
        <f>Table2[[#This Row],[profit]]/Table2[[#This Row],[operating cost]]</f>
        <v>0.5255735501149128</v>
      </c>
    </row>
    <row r="113" spans="1:7" x14ac:dyDescent="0.25">
      <c r="A113" s="11" t="s">
        <v>9</v>
      </c>
      <c r="B113" s="8">
        <v>596736.99</v>
      </c>
      <c r="C113" s="8">
        <v>54828.9</v>
      </c>
      <c r="D113" s="8">
        <v>116991</v>
      </c>
      <c r="E113" s="8">
        <v>87874.99</v>
      </c>
      <c r="F113" s="9">
        <f t="shared" si="1"/>
        <v>768556.89</v>
      </c>
      <c r="G113" s="19">
        <f>Table2[[#This Row],[profit]]/Table2[[#This Row],[operating cost]]</f>
        <v>0.11433765169940771</v>
      </c>
    </row>
    <row r="114" spans="1:7" x14ac:dyDescent="0.25">
      <c r="A114" s="10" t="s">
        <v>11</v>
      </c>
      <c r="B114" s="6">
        <v>661071.99</v>
      </c>
      <c r="C114" s="6">
        <v>61617.9</v>
      </c>
      <c r="D114" s="6">
        <v>30590</v>
      </c>
      <c r="E114" s="6">
        <v>1736189.99</v>
      </c>
      <c r="F114" s="7">
        <f t="shared" si="1"/>
        <v>753279.89</v>
      </c>
      <c r="G114" s="19">
        <f>Table2[[#This Row],[profit]]/Table2[[#This Row],[operating cost]]</f>
        <v>2.3048404889715028</v>
      </c>
    </row>
    <row r="115" spans="1:7" x14ac:dyDescent="0.25">
      <c r="A115" s="11" t="s">
        <v>8</v>
      </c>
      <c r="B115" s="8">
        <v>1277692.99</v>
      </c>
      <c r="C115" s="8">
        <v>84839.9</v>
      </c>
      <c r="D115" s="8">
        <v>77094</v>
      </c>
      <c r="E115" s="8">
        <v>2618856.9900000002</v>
      </c>
      <c r="F115" s="9">
        <f t="shared" si="1"/>
        <v>1439626.89</v>
      </c>
      <c r="G115" s="19">
        <f>Table2[[#This Row],[profit]]/Table2[[#This Row],[operating cost]]</f>
        <v>1.8191220295975441</v>
      </c>
    </row>
    <row r="116" spans="1:7" x14ac:dyDescent="0.25">
      <c r="A116" s="10" t="s">
        <v>18</v>
      </c>
      <c r="B116" s="6">
        <v>76770.989999999903</v>
      </c>
      <c r="C116" s="6">
        <v>122173.9</v>
      </c>
      <c r="D116" s="6">
        <v>113358</v>
      </c>
      <c r="E116" s="6">
        <v>1259190.99</v>
      </c>
      <c r="F116" s="7">
        <f t="shared" si="1"/>
        <v>312302.8899999999</v>
      </c>
      <c r="G116" s="19">
        <f>Table2[[#This Row],[profit]]/Table2[[#This Row],[operating cost]]</f>
        <v>4.0319543312583512</v>
      </c>
    </row>
    <row r="117" spans="1:7" x14ac:dyDescent="0.25">
      <c r="A117" s="11" t="s">
        <v>11</v>
      </c>
      <c r="B117" s="8">
        <v>1237607.99</v>
      </c>
      <c r="C117" s="8">
        <v>94379.9</v>
      </c>
      <c r="D117" s="8">
        <v>71075</v>
      </c>
      <c r="E117" s="8">
        <v>2256555.9900000002</v>
      </c>
      <c r="F117" s="9">
        <f t="shared" si="1"/>
        <v>1403062.89</v>
      </c>
      <c r="G117" s="19">
        <f>Table2[[#This Row],[profit]]/Table2[[#This Row],[operating cost]]</f>
        <v>1.6083070873608527</v>
      </c>
    </row>
    <row r="118" spans="1:7" x14ac:dyDescent="0.25">
      <c r="A118" s="10" t="s">
        <v>15</v>
      </c>
      <c r="B118" s="6">
        <v>893005.99</v>
      </c>
      <c r="C118" s="6">
        <v>53014.9</v>
      </c>
      <c r="D118" s="6">
        <v>73197</v>
      </c>
      <c r="E118" s="6">
        <v>629490.99</v>
      </c>
      <c r="F118" s="7">
        <f t="shared" si="1"/>
        <v>1019217.89</v>
      </c>
      <c r="G118" s="19">
        <f>Table2[[#This Row],[profit]]/Table2[[#This Row],[operating cost]]</f>
        <v>0.61762160591588511</v>
      </c>
    </row>
    <row r="119" spans="1:7" x14ac:dyDescent="0.25">
      <c r="A119" s="11" t="s">
        <v>21</v>
      </c>
      <c r="B119" s="8">
        <v>1149973.99</v>
      </c>
      <c r="C119" s="8">
        <v>80906.899999999994</v>
      </c>
      <c r="D119" s="8">
        <v>94419</v>
      </c>
      <c r="E119" s="8">
        <v>2564107.9900000002</v>
      </c>
      <c r="F119" s="9">
        <f t="shared" si="1"/>
        <v>1325299.8899999999</v>
      </c>
      <c r="G119" s="19">
        <f>Table2[[#This Row],[profit]]/Table2[[#This Row],[operating cost]]</f>
        <v>1.934737948254112</v>
      </c>
    </row>
    <row r="120" spans="1:7" x14ac:dyDescent="0.25">
      <c r="A120" s="10" t="s">
        <v>26</v>
      </c>
      <c r="B120" s="6">
        <v>991833.99</v>
      </c>
      <c r="C120" s="6">
        <v>66858.899999999994</v>
      </c>
      <c r="D120" s="6">
        <v>65021</v>
      </c>
      <c r="E120" s="6">
        <v>1662457.99</v>
      </c>
      <c r="F120" s="7">
        <f t="shared" si="1"/>
        <v>1123713.8899999999</v>
      </c>
      <c r="G120" s="19">
        <f>Table2[[#This Row],[profit]]/Table2[[#This Row],[operating cost]]</f>
        <v>1.479431735065587</v>
      </c>
    </row>
    <row r="121" spans="1:7" x14ac:dyDescent="0.25">
      <c r="A121" s="11" t="s">
        <v>32</v>
      </c>
      <c r="B121" s="8">
        <v>814532.99</v>
      </c>
      <c r="C121" s="8">
        <v>86203.9</v>
      </c>
      <c r="D121" s="8">
        <v>100677</v>
      </c>
      <c r="E121" s="8">
        <v>954222.99</v>
      </c>
      <c r="F121" s="9">
        <f t="shared" si="1"/>
        <v>1001413.89</v>
      </c>
      <c r="G121" s="19">
        <f>Table2[[#This Row],[profit]]/Table2[[#This Row],[operating cost]]</f>
        <v>0.95287572853617997</v>
      </c>
    </row>
    <row r="122" spans="1:7" x14ac:dyDescent="0.25">
      <c r="A122" s="10" t="s">
        <v>30</v>
      </c>
      <c r="B122" s="6">
        <v>868495.99</v>
      </c>
      <c r="C122" s="6">
        <v>105685.9</v>
      </c>
      <c r="D122" s="6">
        <v>64005</v>
      </c>
      <c r="E122" s="6">
        <v>765640.99</v>
      </c>
      <c r="F122" s="7">
        <f t="shared" si="1"/>
        <v>1038186.89</v>
      </c>
      <c r="G122" s="19">
        <f>Table2[[#This Row],[profit]]/Table2[[#This Row],[operating cost]]</f>
        <v>0.73747896200076268</v>
      </c>
    </row>
    <row r="123" spans="1:7" x14ac:dyDescent="0.25">
      <c r="A123" s="11" t="s">
        <v>10</v>
      </c>
      <c r="B123" s="8">
        <v>1510231.99</v>
      </c>
      <c r="C123" s="8">
        <v>60037.9</v>
      </c>
      <c r="D123" s="8">
        <v>44028</v>
      </c>
      <c r="E123" s="8">
        <v>721738.99</v>
      </c>
      <c r="F123" s="9">
        <f t="shared" si="1"/>
        <v>1614297.89</v>
      </c>
      <c r="G123" s="19">
        <f>Table2[[#This Row],[profit]]/Table2[[#This Row],[operating cost]]</f>
        <v>0.4470915773791912</v>
      </c>
    </row>
    <row r="124" spans="1:7" x14ac:dyDescent="0.25">
      <c r="A124" s="10" t="s">
        <v>33</v>
      </c>
      <c r="B124" s="6">
        <v>1539046.99</v>
      </c>
      <c r="C124" s="6">
        <v>131664.9</v>
      </c>
      <c r="D124" s="6">
        <v>69861</v>
      </c>
      <c r="E124" s="6">
        <v>2838170.99</v>
      </c>
      <c r="F124" s="7">
        <f t="shared" si="1"/>
        <v>1740572.89</v>
      </c>
      <c r="G124" s="19">
        <f>Table2[[#This Row],[profit]]/Table2[[#This Row],[operating cost]]</f>
        <v>1.6305958838644214</v>
      </c>
    </row>
    <row r="125" spans="1:7" x14ac:dyDescent="0.25">
      <c r="A125" s="11" t="s">
        <v>17</v>
      </c>
      <c r="B125" s="8">
        <v>1563426.99</v>
      </c>
      <c r="C125" s="8">
        <v>72092.899999999994</v>
      </c>
      <c r="D125" s="8">
        <v>30545</v>
      </c>
      <c r="E125" s="8">
        <v>2159484.9900000002</v>
      </c>
      <c r="F125" s="9">
        <f t="shared" si="1"/>
        <v>1666064.89</v>
      </c>
      <c r="G125" s="19">
        <f>Table2[[#This Row],[profit]]/Table2[[#This Row],[operating cost]]</f>
        <v>1.2961589929429462</v>
      </c>
    </row>
    <row r="126" spans="1:7" x14ac:dyDescent="0.25">
      <c r="A126" s="10" t="s">
        <v>33</v>
      </c>
      <c r="B126" s="6">
        <v>408464.99</v>
      </c>
      <c r="C126" s="6">
        <v>87226.9</v>
      </c>
      <c r="D126" s="6">
        <v>81616</v>
      </c>
      <c r="E126" s="6">
        <v>1250949.99</v>
      </c>
      <c r="F126" s="7">
        <f t="shared" si="1"/>
        <v>577307.89</v>
      </c>
      <c r="G126" s="19">
        <f>Table2[[#This Row],[profit]]/Table2[[#This Row],[operating cost]]</f>
        <v>2.1668679948233516</v>
      </c>
    </row>
    <row r="127" spans="1:7" x14ac:dyDescent="0.25">
      <c r="A127" s="11" t="s">
        <v>34</v>
      </c>
      <c r="B127" s="8">
        <v>989534.99</v>
      </c>
      <c r="C127" s="8">
        <v>73696.899999999994</v>
      </c>
      <c r="D127" s="8">
        <v>59152</v>
      </c>
      <c r="E127" s="8">
        <v>1397050.99</v>
      </c>
      <c r="F127" s="9">
        <f t="shared" si="1"/>
        <v>1122383.8899999999</v>
      </c>
      <c r="G127" s="19">
        <f>Table2[[#This Row],[profit]]/Table2[[#This Row],[operating cost]]</f>
        <v>1.2447176072707173</v>
      </c>
    </row>
    <row r="128" spans="1:7" x14ac:dyDescent="0.25">
      <c r="A128" s="10" t="s">
        <v>18</v>
      </c>
      <c r="B128" s="6">
        <v>1706659.99</v>
      </c>
      <c r="C128" s="6">
        <v>137048.9</v>
      </c>
      <c r="D128" s="6">
        <v>90330</v>
      </c>
      <c r="E128" s="6">
        <v>542567.99</v>
      </c>
      <c r="F128" s="7">
        <f t="shared" si="1"/>
        <v>1934038.89</v>
      </c>
      <c r="G128" s="19">
        <f>Table2[[#This Row],[profit]]/Table2[[#This Row],[operating cost]]</f>
        <v>0.28053623575273606</v>
      </c>
    </row>
    <row r="129" spans="1:7" x14ac:dyDescent="0.25">
      <c r="A129" s="11" t="s">
        <v>28</v>
      </c>
      <c r="B129" s="8">
        <v>1090234.99</v>
      </c>
      <c r="C129" s="8">
        <v>112746.9</v>
      </c>
      <c r="D129" s="8">
        <v>55117</v>
      </c>
      <c r="E129" s="8">
        <v>411626.99</v>
      </c>
      <c r="F129" s="9">
        <f t="shared" si="1"/>
        <v>1258098.8899999999</v>
      </c>
      <c r="G129" s="19">
        <f>Table2[[#This Row],[profit]]/Table2[[#This Row],[operating cost]]</f>
        <v>0.3271817448308853</v>
      </c>
    </row>
    <row r="130" spans="1:7" x14ac:dyDescent="0.25">
      <c r="A130" s="10" t="s">
        <v>30</v>
      </c>
      <c r="B130" s="6">
        <v>1240265.99</v>
      </c>
      <c r="C130" s="6">
        <v>58710.9</v>
      </c>
      <c r="D130" s="6">
        <v>69532</v>
      </c>
      <c r="E130" s="6">
        <v>2227867.9900000002</v>
      </c>
      <c r="F130" s="7">
        <f t="shared" ref="F130:F193" si="2">SUM(B130:D130)</f>
        <v>1368508.89</v>
      </c>
      <c r="G130" s="19">
        <f>Table2[[#This Row],[profit]]/Table2[[#This Row],[operating cost]]</f>
        <v>1.6279528808906754</v>
      </c>
    </row>
    <row r="131" spans="1:7" x14ac:dyDescent="0.25">
      <c r="A131" s="11" t="s">
        <v>12</v>
      </c>
      <c r="B131" s="8">
        <v>517737.99</v>
      </c>
      <c r="C131" s="8">
        <v>70400.899999999994</v>
      </c>
      <c r="D131" s="8">
        <v>30541</v>
      </c>
      <c r="E131" s="8">
        <v>946537.99</v>
      </c>
      <c r="F131" s="9">
        <f t="shared" si="2"/>
        <v>618679.89</v>
      </c>
      <c r="G131" s="19">
        <f>Table2[[#This Row],[profit]]/Table2[[#This Row],[operating cost]]</f>
        <v>1.5299317228494367</v>
      </c>
    </row>
    <row r="132" spans="1:7" x14ac:dyDescent="0.25">
      <c r="A132" s="10" t="s">
        <v>15</v>
      </c>
      <c r="B132" s="6">
        <v>988486.99</v>
      </c>
      <c r="C132" s="6">
        <v>131645.9</v>
      </c>
      <c r="D132" s="6">
        <v>36296</v>
      </c>
      <c r="E132" s="6">
        <v>917606.99</v>
      </c>
      <c r="F132" s="7">
        <f t="shared" si="2"/>
        <v>1156428.8899999999</v>
      </c>
      <c r="G132" s="19">
        <f>Table2[[#This Row],[profit]]/Table2[[#This Row],[operating cost]]</f>
        <v>0.79348328110343225</v>
      </c>
    </row>
    <row r="133" spans="1:7" x14ac:dyDescent="0.25">
      <c r="A133" s="11" t="s">
        <v>35</v>
      </c>
      <c r="B133" s="8">
        <v>771423.99</v>
      </c>
      <c r="C133" s="8">
        <v>129046.9</v>
      </c>
      <c r="D133" s="8">
        <v>40614</v>
      </c>
      <c r="E133" s="8">
        <v>2942282.99</v>
      </c>
      <c r="F133" s="9">
        <f t="shared" si="2"/>
        <v>941084.89</v>
      </c>
      <c r="G133" s="19">
        <f>Table2[[#This Row],[profit]]/Table2[[#This Row],[operating cost]]</f>
        <v>3.1264798970473326</v>
      </c>
    </row>
    <row r="134" spans="1:7" x14ac:dyDescent="0.25">
      <c r="A134" s="10" t="s">
        <v>36</v>
      </c>
      <c r="B134" s="6">
        <v>1898414.99</v>
      </c>
      <c r="C134" s="6">
        <v>115191.9</v>
      </c>
      <c r="D134" s="6">
        <v>87803</v>
      </c>
      <c r="E134" s="6">
        <v>1951631.99</v>
      </c>
      <c r="F134" s="7">
        <f t="shared" si="2"/>
        <v>2101409.8899999997</v>
      </c>
      <c r="G134" s="19">
        <f>Table2[[#This Row],[profit]]/Table2[[#This Row],[operating cost]]</f>
        <v>0.92872504278544166</v>
      </c>
    </row>
    <row r="135" spans="1:7" x14ac:dyDescent="0.25">
      <c r="A135" s="11" t="s">
        <v>30</v>
      </c>
      <c r="B135" s="8">
        <v>182561.99</v>
      </c>
      <c r="C135" s="8">
        <v>86746.9</v>
      </c>
      <c r="D135" s="8">
        <v>88238</v>
      </c>
      <c r="E135" s="8">
        <v>2311956.9900000002</v>
      </c>
      <c r="F135" s="9">
        <f t="shared" si="2"/>
        <v>357546.89</v>
      </c>
      <c r="G135" s="19">
        <f>Table2[[#This Row],[profit]]/Table2[[#This Row],[operating cost]]</f>
        <v>6.4661644518848984</v>
      </c>
    </row>
    <row r="136" spans="1:7" x14ac:dyDescent="0.25">
      <c r="A136" s="10" t="s">
        <v>24</v>
      </c>
      <c r="B136" s="6">
        <v>972534.99</v>
      </c>
      <c r="C136" s="6">
        <v>57447.9</v>
      </c>
      <c r="D136" s="6">
        <v>65000</v>
      </c>
      <c r="E136" s="6">
        <v>2922433.99</v>
      </c>
      <c r="F136" s="7">
        <f t="shared" si="2"/>
        <v>1094982.8900000001</v>
      </c>
      <c r="G136" s="19">
        <f>Table2[[#This Row],[profit]]/Table2[[#This Row],[operating cost]]</f>
        <v>2.6689311921577148</v>
      </c>
    </row>
    <row r="137" spans="1:7" x14ac:dyDescent="0.25">
      <c r="A137" s="11" t="s">
        <v>27</v>
      </c>
      <c r="B137" s="8">
        <v>1975518.99</v>
      </c>
      <c r="C137" s="8">
        <v>69304.899999999994</v>
      </c>
      <c r="D137" s="8">
        <v>106660</v>
      </c>
      <c r="E137" s="8">
        <v>826946.99</v>
      </c>
      <c r="F137" s="9">
        <f t="shared" si="2"/>
        <v>2151483.8899999997</v>
      </c>
      <c r="G137" s="19">
        <f>Table2[[#This Row],[profit]]/Table2[[#This Row],[operating cost]]</f>
        <v>0.38436122800807965</v>
      </c>
    </row>
    <row r="138" spans="1:7" x14ac:dyDescent="0.25">
      <c r="A138" s="10" t="s">
        <v>37</v>
      </c>
      <c r="B138" s="6">
        <v>426133.99</v>
      </c>
      <c r="C138" s="6">
        <v>126042.9</v>
      </c>
      <c r="D138" s="6">
        <v>41114</v>
      </c>
      <c r="E138" s="6">
        <v>1713378.99</v>
      </c>
      <c r="F138" s="7">
        <f t="shared" si="2"/>
        <v>593290.89</v>
      </c>
      <c r="G138" s="19">
        <f>Table2[[#This Row],[profit]]/Table2[[#This Row],[operating cost]]</f>
        <v>2.8879239827869259</v>
      </c>
    </row>
    <row r="139" spans="1:7" x14ac:dyDescent="0.25">
      <c r="A139" s="11" t="s">
        <v>38</v>
      </c>
      <c r="B139" s="8">
        <v>367596.99</v>
      </c>
      <c r="C139" s="8">
        <v>52725.9</v>
      </c>
      <c r="D139" s="8">
        <v>78616</v>
      </c>
      <c r="E139" s="8">
        <v>1813370.99</v>
      </c>
      <c r="F139" s="9">
        <f t="shared" si="2"/>
        <v>498938.89</v>
      </c>
      <c r="G139" s="19">
        <f>Table2[[#This Row],[profit]]/Table2[[#This Row],[operating cost]]</f>
        <v>3.6344550932880777</v>
      </c>
    </row>
    <row r="140" spans="1:7" x14ac:dyDescent="0.25">
      <c r="A140" s="10" t="s">
        <v>33</v>
      </c>
      <c r="B140" s="6">
        <v>1789337.99</v>
      </c>
      <c r="C140" s="6">
        <v>60721.9</v>
      </c>
      <c r="D140" s="6">
        <v>117914</v>
      </c>
      <c r="E140" s="6">
        <v>2691584.99</v>
      </c>
      <c r="F140" s="7">
        <f t="shared" si="2"/>
        <v>1967973.89</v>
      </c>
      <c r="G140" s="19">
        <f>Table2[[#This Row],[profit]]/Table2[[#This Row],[operating cost]]</f>
        <v>1.3676934453637495</v>
      </c>
    </row>
    <row r="141" spans="1:7" x14ac:dyDescent="0.25">
      <c r="A141" s="11" t="s">
        <v>33</v>
      </c>
      <c r="B141" s="8">
        <v>1926104.99</v>
      </c>
      <c r="C141" s="8">
        <v>125226.9</v>
      </c>
      <c r="D141" s="8">
        <v>116396</v>
      </c>
      <c r="E141" s="8">
        <v>2123716.9900000002</v>
      </c>
      <c r="F141" s="9">
        <f t="shared" si="2"/>
        <v>2167727.8899999997</v>
      </c>
      <c r="G141" s="19">
        <f>Table2[[#This Row],[profit]]/Table2[[#This Row],[operating cost]]</f>
        <v>0.97969722113046231</v>
      </c>
    </row>
    <row r="142" spans="1:7" x14ac:dyDescent="0.25">
      <c r="A142" s="10" t="s">
        <v>30</v>
      </c>
      <c r="B142" s="6">
        <v>1769588.99</v>
      </c>
      <c r="C142" s="6">
        <v>129933.9</v>
      </c>
      <c r="D142" s="6">
        <v>119419</v>
      </c>
      <c r="E142" s="6">
        <v>1799251.99</v>
      </c>
      <c r="F142" s="7">
        <f t="shared" si="2"/>
        <v>2018941.89</v>
      </c>
      <c r="G142" s="19">
        <f>Table2[[#This Row],[profit]]/Table2[[#This Row],[operating cost]]</f>
        <v>0.89118562496120191</v>
      </c>
    </row>
    <row r="143" spans="1:7" x14ac:dyDescent="0.25">
      <c r="A143" s="11" t="s">
        <v>39</v>
      </c>
      <c r="B143" s="8">
        <v>327306.99</v>
      </c>
      <c r="C143" s="8">
        <v>70991.899999999994</v>
      </c>
      <c r="D143" s="8">
        <v>84270</v>
      </c>
      <c r="E143" s="8">
        <v>2239061.9900000002</v>
      </c>
      <c r="F143" s="9">
        <f t="shared" si="2"/>
        <v>482568.89</v>
      </c>
      <c r="G143" s="19">
        <f>Table2[[#This Row],[profit]]/Table2[[#This Row],[operating cost]]</f>
        <v>4.6398805152980334</v>
      </c>
    </row>
    <row r="144" spans="1:7" x14ac:dyDescent="0.25">
      <c r="A144" s="10" t="s">
        <v>9</v>
      </c>
      <c r="B144" s="6">
        <v>1768614.99</v>
      </c>
      <c r="C144" s="6">
        <v>52141.9</v>
      </c>
      <c r="D144" s="6">
        <v>41442</v>
      </c>
      <c r="E144" s="6">
        <v>731798.99</v>
      </c>
      <c r="F144" s="7">
        <f t="shared" si="2"/>
        <v>1862198.89</v>
      </c>
      <c r="G144" s="19">
        <f>Table2[[#This Row],[profit]]/Table2[[#This Row],[operating cost]]</f>
        <v>0.39297574170501198</v>
      </c>
    </row>
    <row r="145" spans="1:7" x14ac:dyDescent="0.25">
      <c r="A145" s="11" t="s">
        <v>33</v>
      </c>
      <c r="B145" s="8">
        <v>622877.99</v>
      </c>
      <c r="C145" s="8">
        <v>102675.9</v>
      </c>
      <c r="D145" s="8">
        <v>74392</v>
      </c>
      <c r="E145" s="8">
        <v>2591338.9900000002</v>
      </c>
      <c r="F145" s="9">
        <f t="shared" si="2"/>
        <v>799945.89</v>
      </c>
      <c r="G145" s="19">
        <f>Table2[[#This Row],[profit]]/Table2[[#This Row],[operating cost]]</f>
        <v>3.2393928419333466</v>
      </c>
    </row>
    <row r="146" spans="1:7" x14ac:dyDescent="0.25">
      <c r="A146" s="10" t="s">
        <v>22</v>
      </c>
      <c r="B146" s="6">
        <v>1564927.99</v>
      </c>
      <c r="C146" s="6">
        <v>129550.9</v>
      </c>
      <c r="D146" s="6">
        <v>54807</v>
      </c>
      <c r="E146" s="6">
        <v>2377103.9900000002</v>
      </c>
      <c r="F146" s="7">
        <f t="shared" si="2"/>
        <v>1749285.89</v>
      </c>
      <c r="G146" s="19">
        <f>Table2[[#This Row],[profit]]/Table2[[#This Row],[operating cost]]</f>
        <v>1.3588996536180833</v>
      </c>
    </row>
    <row r="147" spans="1:7" x14ac:dyDescent="0.25">
      <c r="A147" s="11" t="s">
        <v>19</v>
      </c>
      <c r="B147" s="8">
        <v>1542921.99</v>
      </c>
      <c r="C147" s="8">
        <v>59358.9</v>
      </c>
      <c r="D147" s="8">
        <v>51112</v>
      </c>
      <c r="E147" s="8">
        <v>2535064.9900000002</v>
      </c>
      <c r="F147" s="9">
        <f t="shared" si="2"/>
        <v>1653392.89</v>
      </c>
      <c r="G147" s="19">
        <f>Table2[[#This Row],[profit]]/Table2[[#This Row],[operating cost]]</f>
        <v>1.5332502064890339</v>
      </c>
    </row>
    <row r="148" spans="1:7" x14ac:dyDescent="0.25">
      <c r="A148" s="10" t="s">
        <v>36</v>
      </c>
      <c r="B148" s="6">
        <v>767013.99</v>
      </c>
      <c r="C148" s="6">
        <v>125165.9</v>
      </c>
      <c r="D148" s="6">
        <v>62271</v>
      </c>
      <c r="E148" s="6">
        <v>491939.99</v>
      </c>
      <c r="F148" s="7">
        <f t="shared" si="2"/>
        <v>954450.89</v>
      </c>
      <c r="G148" s="19">
        <f>Table2[[#This Row],[profit]]/Table2[[#This Row],[operating cost]]</f>
        <v>0.51541676492124178</v>
      </c>
    </row>
    <row r="149" spans="1:7" x14ac:dyDescent="0.25">
      <c r="A149" s="11" t="s">
        <v>36</v>
      </c>
      <c r="B149" s="8">
        <v>1281757.99</v>
      </c>
      <c r="C149" s="8">
        <v>117275.9</v>
      </c>
      <c r="D149" s="8">
        <v>87831</v>
      </c>
      <c r="E149" s="8">
        <v>2946679.99</v>
      </c>
      <c r="F149" s="9">
        <f t="shared" si="2"/>
        <v>1486864.89</v>
      </c>
      <c r="G149" s="19">
        <f>Table2[[#This Row],[profit]]/Table2[[#This Row],[operating cost]]</f>
        <v>1.9818074996713388</v>
      </c>
    </row>
    <row r="150" spans="1:7" x14ac:dyDescent="0.25">
      <c r="A150" s="10" t="s">
        <v>18</v>
      </c>
      <c r="B150" s="6">
        <v>971653.99</v>
      </c>
      <c r="C150" s="6">
        <v>72463.899999999994</v>
      </c>
      <c r="D150" s="6">
        <v>66502</v>
      </c>
      <c r="E150" s="6">
        <v>352955.99</v>
      </c>
      <c r="F150" s="7">
        <f t="shared" si="2"/>
        <v>1110619.8900000001</v>
      </c>
      <c r="G150" s="19">
        <f>Table2[[#This Row],[profit]]/Table2[[#This Row],[operating cost]]</f>
        <v>0.31780089045586962</v>
      </c>
    </row>
    <row r="151" spans="1:7" x14ac:dyDescent="0.25">
      <c r="A151" s="11" t="s">
        <v>28</v>
      </c>
      <c r="B151" s="8">
        <v>963763.99</v>
      </c>
      <c r="C151" s="8">
        <v>101418.9</v>
      </c>
      <c r="D151" s="8">
        <v>47123</v>
      </c>
      <c r="E151" s="8">
        <v>1247023.99</v>
      </c>
      <c r="F151" s="9">
        <f t="shared" si="2"/>
        <v>1112305.8899999999</v>
      </c>
      <c r="G151" s="19">
        <f>Table2[[#This Row],[profit]]/Table2[[#This Row],[operating cost]]</f>
        <v>1.1211160537862477</v>
      </c>
    </row>
    <row r="152" spans="1:7" x14ac:dyDescent="0.25">
      <c r="A152" s="10" t="s">
        <v>28</v>
      </c>
      <c r="B152" s="6">
        <v>675145.99</v>
      </c>
      <c r="C152" s="6">
        <v>87898.9</v>
      </c>
      <c r="D152" s="6">
        <v>101996</v>
      </c>
      <c r="E152" s="6">
        <v>250970.99</v>
      </c>
      <c r="F152" s="7">
        <f t="shared" si="2"/>
        <v>865040.89</v>
      </c>
      <c r="G152" s="19">
        <f>Table2[[#This Row],[profit]]/Table2[[#This Row],[operating cost]]</f>
        <v>0.29012615808253872</v>
      </c>
    </row>
    <row r="153" spans="1:7" x14ac:dyDescent="0.25">
      <c r="A153" s="11" t="s">
        <v>36</v>
      </c>
      <c r="B153" s="8">
        <v>377619.99</v>
      </c>
      <c r="C153" s="8">
        <v>128096.9</v>
      </c>
      <c r="D153" s="8">
        <v>93521</v>
      </c>
      <c r="E153" s="8">
        <v>934324.99</v>
      </c>
      <c r="F153" s="9">
        <f t="shared" si="2"/>
        <v>599237.89</v>
      </c>
      <c r="G153" s="19">
        <f>Table2[[#This Row],[profit]]/Table2[[#This Row],[operating cost]]</f>
        <v>1.5591887722587101</v>
      </c>
    </row>
    <row r="154" spans="1:7" x14ac:dyDescent="0.25">
      <c r="A154" s="10" t="s">
        <v>25</v>
      </c>
      <c r="B154" s="6">
        <v>1530310.99</v>
      </c>
      <c r="C154" s="6">
        <v>83764.899999999994</v>
      </c>
      <c r="D154" s="6">
        <v>92229</v>
      </c>
      <c r="E154" s="6">
        <v>2339715.9900000002</v>
      </c>
      <c r="F154" s="7">
        <f t="shared" si="2"/>
        <v>1706304.89</v>
      </c>
      <c r="G154" s="19">
        <f>Table2[[#This Row],[profit]]/Table2[[#This Row],[operating cost]]</f>
        <v>1.3712180066482729</v>
      </c>
    </row>
    <row r="155" spans="1:7" x14ac:dyDescent="0.25">
      <c r="A155" s="11" t="s">
        <v>10</v>
      </c>
      <c r="B155" s="8">
        <v>189440.99</v>
      </c>
      <c r="C155" s="8">
        <v>134720.9</v>
      </c>
      <c r="D155" s="8">
        <v>54263</v>
      </c>
      <c r="E155" s="8">
        <v>2024263.99</v>
      </c>
      <c r="F155" s="9">
        <f t="shared" si="2"/>
        <v>378424.89</v>
      </c>
      <c r="G155" s="19">
        <f>Table2[[#This Row],[profit]]/Table2[[#This Row],[operating cost]]</f>
        <v>5.3491830043208832</v>
      </c>
    </row>
    <row r="156" spans="1:7" x14ac:dyDescent="0.25">
      <c r="A156" s="10" t="s">
        <v>37</v>
      </c>
      <c r="B156" s="6">
        <v>1325060.99</v>
      </c>
      <c r="C156" s="6">
        <v>117884.9</v>
      </c>
      <c r="D156" s="6">
        <v>69464</v>
      </c>
      <c r="E156" s="6">
        <v>1133511.99</v>
      </c>
      <c r="F156" s="7">
        <f t="shared" si="2"/>
        <v>1512409.89</v>
      </c>
      <c r="G156" s="19">
        <f>Table2[[#This Row],[profit]]/Table2[[#This Row],[operating cost]]</f>
        <v>0.74947406618717638</v>
      </c>
    </row>
    <row r="157" spans="1:7" x14ac:dyDescent="0.25">
      <c r="A157" s="11" t="s">
        <v>37</v>
      </c>
      <c r="B157" s="8">
        <v>905087.99</v>
      </c>
      <c r="C157" s="8">
        <v>105388.9</v>
      </c>
      <c r="D157" s="8">
        <v>116151</v>
      </c>
      <c r="E157" s="8">
        <v>1513242.99</v>
      </c>
      <c r="F157" s="9">
        <f t="shared" si="2"/>
        <v>1126627.8900000001</v>
      </c>
      <c r="G157" s="19">
        <f>Table2[[#This Row],[profit]]/Table2[[#This Row],[operating cost]]</f>
        <v>1.343161307678971</v>
      </c>
    </row>
    <row r="158" spans="1:7" x14ac:dyDescent="0.25">
      <c r="A158" s="10" t="s">
        <v>40</v>
      </c>
      <c r="B158" s="6">
        <v>1205687.99</v>
      </c>
      <c r="C158" s="6">
        <v>132886.9</v>
      </c>
      <c r="D158" s="6">
        <v>62168</v>
      </c>
      <c r="E158" s="6">
        <v>357061.99</v>
      </c>
      <c r="F158" s="7">
        <f t="shared" si="2"/>
        <v>1400742.89</v>
      </c>
      <c r="G158" s="19">
        <f>Table2[[#This Row],[profit]]/Table2[[#This Row],[operating cost]]</f>
        <v>0.25490901474431188</v>
      </c>
    </row>
    <row r="159" spans="1:7" x14ac:dyDescent="0.25">
      <c r="A159" s="11" t="s">
        <v>36</v>
      </c>
      <c r="B159" s="8">
        <v>1831011.99</v>
      </c>
      <c r="C159" s="8">
        <v>71497.899999999994</v>
      </c>
      <c r="D159" s="8">
        <v>99314</v>
      </c>
      <c r="E159" s="8">
        <v>2409781.9900000002</v>
      </c>
      <c r="F159" s="9">
        <f t="shared" si="2"/>
        <v>2001823.89</v>
      </c>
      <c r="G159" s="19">
        <f>Table2[[#This Row],[profit]]/Table2[[#This Row],[operating cost]]</f>
        <v>1.2037932018085769</v>
      </c>
    </row>
    <row r="160" spans="1:7" x14ac:dyDescent="0.25">
      <c r="A160" s="10" t="s">
        <v>23</v>
      </c>
      <c r="B160" s="6">
        <v>353425.99</v>
      </c>
      <c r="C160" s="6">
        <v>61483.9</v>
      </c>
      <c r="D160" s="6">
        <v>83905</v>
      </c>
      <c r="E160" s="6">
        <v>2499388.9900000002</v>
      </c>
      <c r="F160" s="7">
        <f t="shared" si="2"/>
        <v>498814.89</v>
      </c>
      <c r="G160" s="19">
        <f>Table2[[#This Row],[profit]]/Table2[[#This Row],[operating cost]]</f>
        <v>5.0106543331134326</v>
      </c>
    </row>
    <row r="161" spans="1:7" x14ac:dyDescent="0.25">
      <c r="A161" s="11" t="s">
        <v>41</v>
      </c>
      <c r="B161" s="8">
        <v>1471579.99</v>
      </c>
      <c r="C161" s="8">
        <v>134480.9</v>
      </c>
      <c r="D161" s="8">
        <v>100528</v>
      </c>
      <c r="E161" s="8">
        <v>134441.99</v>
      </c>
      <c r="F161" s="9">
        <f t="shared" si="2"/>
        <v>1706588.89</v>
      </c>
      <c r="G161" s="19">
        <f>Table2[[#This Row],[profit]]/Table2[[#This Row],[operating cost]]</f>
        <v>7.8778193616389949E-2</v>
      </c>
    </row>
    <row r="162" spans="1:7" x14ac:dyDescent="0.25">
      <c r="A162" s="10" t="s">
        <v>42</v>
      </c>
      <c r="B162" s="6">
        <v>1869665.99</v>
      </c>
      <c r="C162" s="6">
        <v>139938.9</v>
      </c>
      <c r="D162" s="6">
        <v>118554</v>
      </c>
      <c r="E162" s="6">
        <v>1896355.99</v>
      </c>
      <c r="F162" s="7">
        <f t="shared" si="2"/>
        <v>2128158.8899999997</v>
      </c>
      <c r="G162" s="19">
        <f>Table2[[#This Row],[profit]]/Table2[[#This Row],[operating cost]]</f>
        <v>0.8910781985831896</v>
      </c>
    </row>
    <row r="163" spans="1:7" x14ac:dyDescent="0.25">
      <c r="A163" s="11" t="s">
        <v>10</v>
      </c>
      <c r="B163" s="8">
        <v>131883.99</v>
      </c>
      <c r="C163" s="8">
        <v>87447.9</v>
      </c>
      <c r="D163" s="8">
        <v>113439</v>
      </c>
      <c r="E163" s="8">
        <v>2782326.99</v>
      </c>
      <c r="F163" s="9">
        <f t="shared" si="2"/>
        <v>332770.89</v>
      </c>
      <c r="G163" s="19">
        <f>Table2[[#This Row],[profit]]/Table2[[#This Row],[operating cost]]</f>
        <v>8.3610888861102008</v>
      </c>
    </row>
    <row r="164" spans="1:7" x14ac:dyDescent="0.25">
      <c r="A164" s="10" t="s">
        <v>16</v>
      </c>
      <c r="B164" s="6">
        <v>634362.99</v>
      </c>
      <c r="C164" s="6">
        <v>86621.9</v>
      </c>
      <c r="D164" s="6">
        <v>108704</v>
      </c>
      <c r="E164" s="6">
        <v>2184118.9900000002</v>
      </c>
      <c r="F164" s="7">
        <f t="shared" si="2"/>
        <v>829688.89</v>
      </c>
      <c r="G164" s="19">
        <f>Table2[[#This Row],[profit]]/Table2[[#This Row],[operating cost]]</f>
        <v>2.6324553893930052</v>
      </c>
    </row>
    <row r="165" spans="1:7" x14ac:dyDescent="0.25">
      <c r="A165" s="11" t="s">
        <v>26</v>
      </c>
      <c r="B165" s="8">
        <v>1874331.99</v>
      </c>
      <c r="C165" s="8">
        <v>111443.9</v>
      </c>
      <c r="D165" s="8">
        <v>118292</v>
      </c>
      <c r="E165" s="8">
        <v>1831174.99</v>
      </c>
      <c r="F165" s="9">
        <f t="shared" si="2"/>
        <v>2104067.8899999997</v>
      </c>
      <c r="G165" s="19">
        <f>Table2[[#This Row],[profit]]/Table2[[#This Row],[operating cost]]</f>
        <v>0.87030223630284109</v>
      </c>
    </row>
    <row r="166" spans="1:7" x14ac:dyDescent="0.25">
      <c r="A166" s="10" t="s">
        <v>43</v>
      </c>
      <c r="B166" s="6">
        <v>1674670.99</v>
      </c>
      <c r="C166" s="6">
        <v>107310.9</v>
      </c>
      <c r="D166" s="6">
        <v>50052</v>
      </c>
      <c r="E166" s="6">
        <v>1867711.99</v>
      </c>
      <c r="F166" s="7">
        <f t="shared" si="2"/>
        <v>1832033.89</v>
      </c>
      <c r="G166" s="19">
        <f>Table2[[#This Row],[profit]]/Table2[[#This Row],[operating cost]]</f>
        <v>1.0194745851562823</v>
      </c>
    </row>
    <row r="167" spans="1:7" x14ac:dyDescent="0.25">
      <c r="A167" s="11" t="s">
        <v>7</v>
      </c>
      <c r="B167" s="8">
        <v>287764.99</v>
      </c>
      <c r="C167" s="8">
        <v>87968.9</v>
      </c>
      <c r="D167" s="8">
        <v>89616</v>
      </c>
      <c r="E167" s="8">
        <v>347593.99</v>
      </c>
      <c r="F167" s="9">
        <f t="shared" si="2"/>
        <v>465349.89</v>
      </c>
      <c r="G167" s="19">
        <f>Table2[[#This Row],[profit]]/Table2[[#This Row],[operating cost]]</f>
        <v>0.74695191181843834</v>
      </c>
    </row>
    <row r="168" spans="1:7" x14ac:dyDescent="0.25">
      <c r="A168" s="10" t="s">
        <v>44</v>
      </c>
      <c r="B168" s="6">
        <v>193521.99</v>
      </c>
      <c r="C168" s="6">
        <v>85399.9</v>
      </c>
      <c r="D168" s="6">
        <v>32638</v>
      </c>
      <c r="E168" s="6">
        <v>635061.99</v>
      </c>
      <c r="F168" s="7">
        <f t="shared" si="2"/>
        <v>311559.89</v>
      </c>
      <c r="G168" s="19">
        <f>Table2[[#This Row],[profit]]/Table2[[#This Row],[operating cost]]</f>
        <v>2.0383303832852167</v>
      </c>
    </row>
    <row r="169" spans="1:7" x14ac:dyDescent="0.25">
      <c r="A169" s="11" t="s">
        <v>32</v>
      </c>
      <c r="B169" s="8">
        <v>1161310.99</v>
      </c>
      <c r="C169" s="8">
        <v>50764.9</v>
      </c>
      <c r="D169" s="8">
        <v>64134</v>
      </c>
      <c r="E169" s="8">
        <v>1283606.99</v>
      </c>
      <c r="F169" s="9">
        <f t="shared" si="2"/>
        <v>1276209.8899999999</v>
      </c>
      <c r="G169" s="19">
        <f>Table2[[#This Row],[profit]]/Table2[[#This Row],[operating cost]]</f>
        <v>1.0057961469018235</v>
      </c>
    </row>
    <row r="170" spans="1:7" x14ac:dyDescent="0.25">
      <c r="A170" s="10" t="s">
        <v>11</v>
      </c>
      <c r="B170" s="6">
        <v>1314588.99</v>
      </c>
      <c r="C170" s="6">
        <v>100486.9</v>
      </c>
      <c r="D170" s="6">
        <v>103424</v>
      </c>
      <c r="E170" s="6">
        <v>2177681.9900000002</v>
      </c>
      <c r="F170" s="7">
        <f t="shared" si="2"/>
        <v>1518499.89</v>
      </c>
      <c r="G170" s="19">
        <f>Table2[[#This Row],[profit]]/Table2[[#This Row],[operating cost]]</f>
        <v>1.4341008546269967</v>
      </c>
    </row>
    <row r="171" spans="1:7" x14ac:dyDescent="0.25">
      <c r="A171" s="11" t="s">
        <v>23</v>
      </c>
      <c r="B171" s="8">
        <v>1227466.99</v>
      </c>
      <c r="C171" s="8">
        <v>137328.9</v>
      </c>
      <c r="D171" s="8">
        <v>102111</v>
      </c>
      <c r="E171" s="8">
        <v>2472614.9900000002</v>
      </c>
      <c r="F171" s="9">
        <f t="shared" si="2"/>
        <v>1466906.89</v>
      </c>
      <c r="G171" s="19">
        <f>Table2[[#This Row],[profit]]/Table2[[#This Row],[operating cost]]</f>
        <v>1.6855977750571478</v>
      </c>
    </row>
    <row r="172" spans="1:7" x14ac:dyDescent="0.25">
      <c r="A172" s="10" t="s">
        <v>7</v>
      </c>
      <c r="B172" s="6">
        <v>327099.99</v>
      </c>
      <c r="C172" s="6">
        <v>70852.899999999994</v>
      </c>
      <c r="D172" s="6">
        <v>30228</v>
      </c>
      <c r="E172" s="6">
        <v>2882523.99</v>
      </c>
      <c r="F172" s="7">
        <f t="shared" si="2"/>
        <v>428180.89</v>
      </c>
      <c r="G172" s="19">
        <f>Table2[[#This Row],[profit]]/Table2[[#This Row],[operating cost]]</f>
        <v>6.7320239116696685</v>
      </c>
    </row>
    <row r="173" spans="1:7" x14ac:dyDescent="0.25">
      <c r="A173" s="11" t="s">
        <v>11</v>
      </c>
      <c r="B173" s="8">
        <v>1420846.99</v>
      </c>
      <c r="C173" s="8">
        <v>79539.899999999994</v>
      </c>
      <c r="D173" s="8">
        <v>63485</v>
      </c>
      <c r="E173" s="8">
        <v>471661.99</v>
      </c>
      <c r="F173" s="9">
        <f t="shared" si="2"/>
        <v>1563871.89</v>
      </c>
      <c r="G173" s="19">
        <f>Table2[[#This Row],[profit]]/Table2[[#This Row],[operating cost]]</f>
        <v>0.3015988668995131</v>
      </c>
    </row>
    <row r="174" spans="1:7" x14ac:dyDescent="0.25">
      <c r="A174" s="10" t="s">
        <v>18</v>
      </c>
      <c r="B174" s="6">
        <v>1811520.99</v>
      </c>
      <c r="C174" s="6">
        <v>106189.9</v>
      </c>
      <c r="D174" s="6">
        <v>98677</v>
      </c>
      <c r="E174" s="6">
        <v>604010.99</v>
      </c>
      <c r="F174" s="7">
        <f t="shared" si="2"/>
        <v>2016387.89</v>
      </c>
      <c r="G174" s="19">
        <f>Table2[[#This Row],[profit]]/Table2[[#This Row],[operating cost]]</f>
        <v>0.29955099065785407</v>
      </c>
    </row>
    <row r="175" spans="1:7" x14ac:dyDescent="0.25">
      <c r="A175" s="11" t="s">
        <v>33</v>
      </c>
      <c r="B175" s="8">
        <v>1129652.99</v>
      </c>
      <c r="C175" s="8">
        <v>82978.899999999994</v>
      </c>
      <c r="D175" s="8">
        <v>55502</v>
      </c>
      <c r="E175" s="8">
        <v>2096818.99</v>
      </c>
      <c r="F175" s="9">
        <f t="shared" si="2"/>
        <v>1268133.8899999999</v>
      </c>
      <c r="G175" s="19">
        <f>Table2[[#This Row],[profit]]/Table2[[#This Row],[operating cost]]</f>
        <v>1.6534681444401744</v>
      </c>
    </row>
    <row r="176" spans="1:7" x14ac:dyDescent="0.25">
      <c r="A176" s="10" t="s">
        <v>45</v>
      </c>
      <c r="B176" s="6">
        <v>353912.99</v>
      </c>
      <c r="C176" s="6">
        <v>115229.9</v>
      </c>
      <c r="D176" s="6">
        <v>101595</v>
      </c>
      <c r="E176" s="6">
        <v>2161510.9900000002</v>
      </c>
      <c r="F176" s="7">
        <f t="shared" si="2"/>
        <v>570737.89</v>
      </c>
      <c r="G176" s="19">
        <f>Table2[[#This Row],[profit]]/Table2[[#This Row],[operating cost]]</f>
        <v>3.7872218191085931</v>
      </c>
    </row>
    <row r="177" spans="1:7" x14ac:dyDescent="0.25">
      <c r="A177" s="11" t="s">
        <v>9</v>
      </c>
      <c r="B177" s="8">
        <v>1530299.99</v>
      </c>
      <c r="C177" s="8">
        <v>138623.9</v>
      </c>
      <c r="D177" s="8">
        <v>111387</v>
      </c>
      <c r="E177" s="8">
        <v>1637569.99</v>
      </c>
      <c r="F177" s="9">
        <f t="shared" si="2"/>
        <v>1780310.89</v>
      </c>
      <c r="G177" s="19">
        <f>Table2[[#This Row],[profit]]/Table2[[#This Row],[operating cost]]</f>
        <v>0.91982248673432543</v>
      </c>
    </row>
    <row r="178" spans="1:7" x14ac:dyDescent="0.25">
      <c r="A178" s="10" t="s">
        <v>44</v>
      </c>
      <c r="B178" s="6">
        <v>349663.99</v>
      </c>
      <c r="C178" s="6">
        <v>85435.9</v>
      </c>
      <c r="D178" s="6">
        <v>55477</v>
      </c>
      <c r="E178" s="6">
        <v>606532.99</v>
      </c>
      <c r="F178" s="7">
        <f t="shared" si="2"/>
        <v>490576.89</v>
      </c>
      <c r="G178" s="19">
        <f>Table2[[#This Row],[profit]]/Table2[[#This Row],[operating cost]]</f>
        <v>1.2363668211113654</v>
      </c>
    </row>
    <row r="179" spans="1:7" x14ac:dyDescent="0.25">
      <c r="A179" s="11" t="s">
        <v>40</v>
      </c>
      <c r="B179" s="8">
        <v>454836.99</v>
      </c>
      <c r="C179" s="8">
        <v>89803.9</v>
      </c>
      <c r="D179" s="8">
        <v>114574</v>
      </c>
      <c r="E179" s="8">
        <v>695176.99</v>
      </c>
      <c r="F179" s="9">
        <f t="shared" si="2"/>
        <v>659214.89</v>
      </c>
      <c r="G179" s="19">
        <f>Table2[[#This Row],[profit]]/Table2[[#This Row],[operating cost]]</f>
        <v>1.0545529243127381</v>
      </c>
    </row>
    <row r="180" spans="1:7" x14ac:dyDescent="0.25">
      <c r="A180" s="10" t="s">
        <v>43</v>
      </c>
      <c r="B180" s="6">
        <v>1774454.99</v>
      </c>
      <c r="C180" s="6">
        <v>66246.899999999994</v>
      </c>
      <c r="D180" s="6">
        <v>105008</v>
      </c>
      <c r="E180" s="6">
        <v>2193925.9900000002</v>
      </c>
      <c r="F180" s="7">
        <f t="shared" si="2"/>
        <v>1945709.89</v>
      </c>
      <c r="G180" s="19">
        <f>Table2[[#This Row],[profit]]/Table2[[#This Row],[operating cost]]</f>
        <v>1.1275709710248738</v>
      </c>
    </row>
    <row r="181" spans="1:7" x14ac:dyDescent="0.25">
      <c r="A181" s="11" t="s">
        <v>16</v>
      </c>
      <c r="B181" s="8">
        <v>430766.99</v>
      </c>
      <c r="C181" s="8">
        <v>72450.899999999994</v>
      </c>
      <c r="D181" s="8">
        <v>77167</v>
      </c>
      <c r="E181" s="8">
        <v>2622572.9900000002</v>
      </c>
      <c r="F181" s="9">
        <f t="shared" si="2"/>
        <v>580384.89</v>
      </c>
      <c r="G181" s="19">
        <f>Table2[[#This Row],[profit]]/Table2[[#This Row],[operating cost]]</f>
        <v>4.5186789580273192</v>
      </c>
    </row>
    <row r="182" spans="1:7" x14ac:dyDescent="0.25">
      <c r="A182" s="10" t="s">
        <v>15</v>
      </c>
      <c r="B182" s="6">
        <v>682450.99</v>
      </c>
      <c r="C182" s="6">
        <v>119982.9</v>
      </c>
      <c r="D182" s="6">
        <v>90778</v>
      </c>
      <c r="E182" s="6">
        <v>1470792.99</v>
      </c>
      <c r="F182" s="7">
        <f t="shared" si="2"/>
        <v>893211.89</v>
      </c>
      <c r="G182" s="19">
        <f>Table2[[#This Row],[profit]]/Table2[[#This Row],[operating cost]]</f>
        <v>1.6466339134827235</v>
      </c>
    </row>
    <row r="183" spans="1:7" x14ac:dyDescent="0.25">
      <c r="A183" s="11" t="s">
        <v>42</v>
      </c>
      <c r="B183" s="8">
        <v>1873452.99</v>
      </c>
      <c r="C183" s="8">
        <v>68891.899999999994</v>
      </c>
      <c r="D183" s="8">
        <v>100048</v>
      </c>
      <c r="E183" s="8">
        <v>547389.99</v>
      </c>
      <c r="F183" s="9">
        <f t="shared" si="2"/>
        <v>2042392.89</v>
      </c>
      <c r="G183" s="19">
        <f>Table2[[#This Row],[profit]]/Table2[[#This Row],[operating cost]]</f>
        <v>0.26801404993140182</v>
      </c>
    </row>
    <row r="184" spans="1:7" x14ac:dyDescent="0.25">
      <c r="A184" s="10" t="s">
        <v>43</v>
      </c>
      <c r="B184" s="6">
        <v>1565000.99</v>
      </c>
      <c r="C184" s="6">
        <v>106917.9</v>
      </c>
      <c r="D184" s="6">
        <v>53272</v>
      </c>
      <c r="E184" s="6">
        <v>159162.99</v>
      </c>
      <c r="F184" s="7">
        <f t="shared" si="2"/>
        <v>1725190.89</v>
      </c>
      <c r="G184" s="19">
        <f>Table2[[#This Row],[profit]]/Table2[[#This Row],[operating cost]]</f>
        <v>9.2258190628400544E-2</v>
      </c>
    </row>
    <row r="185" spans="1:7" x14ac:dyDescent="0.25">
      <c r="A185" s="11" t="s">
        <v>40</v>
      </c>
      <c r="B185" s="8">
        <v>91257.989999999903</v>
      </c>
      <c r="C185" s="8">
        <v>83779.899999999994</v>
      </c>
      <c r="D185" s="8">
        <v>40363</v>
      </c>
      <c r="E185" s="8">
        <v>2809075.99</v>
      </c>
      <c r="F185" s="9">
        <f t="shared" si="2"/>
        <v>215400.8899999999</v>
      </c>
      <c r="G185" s="19">
        <f>Table2[[#This Row],[profit]]/Table2[[#This Row],[operating cost]]</f>
        <v>13.041153126154686</v>
      </c>
    </row>
    <row r="186" spans="1:7" x14ac:dyDescent="0.25">
      <c r="A186" s="10" t="s">
        <v>8</v>
      </c>
      <c r="B186" s="6">
        <v>1088269.99</v>
      </c>
      <c r="C186" s="6">
        <v>78661.899999999994</v>
      </c>
      <c r="D186" s="6">
        <v>101603</v>
      </c>
      <c r="E186" s="6">
        <v>190797.99</v>
      </c>
      <c r="F186" s="7">
        <f t="shared" si="2"/>
        <v>1268534.8899999999</v>
      </c>
      <c r="G186" s="19">
        <f>Table2[[#This Row],[profit]]/Table2[[#This Row],[operating cost]]</f>
        <v>0.15040815314114064</v>
      </c>
    </row>
    <row r="187" spans="1:7" x14ac:dyDescent="0.25">
      <c r="A187" s="11" t="s">
        <v>24</v>
      </c>
      <c r="B187" s="8">
        <v>255860.99</v>
      </c>
      <c r="C187" s="8">
        <v>88379.9</v>
      </c>
      <c r="D187" s="8">
        <v>57737</v>
      </c>
      <c r="E187" s="8">
        <v>2715928.99</v>
      </c>
      <c r="F187" s="9">
        <f t="shared" si="2"/>
        <v>401977.89</v>
      </c>
      <c r="G187" s="19">
        <f>Table2[[#This Row],[profit]]/Table2[[#This Row],[operating cost]]</f>
        <v>6.7564138664442464</v>
      </c>
    </row>
    <row r="188" spans="1:7" x14ac:dyDescent="0.25">
      <c r="A188" s="10" t="s">
        <v>40</v>
      </c>
      <c r="B188" s="6">
        <v>1744185.99</v>
      </c>
      <c r="C188" s="6">
        <v>82986.899999999994</v>
      </c>
      <c r="D188" s="6">
        <v>92040</v>
      </c>
      <c r="E188" s="6">
        <v>2422168.9900000002</v>
      </c>
      <c r="F188" s="7">
        <f t="shared" si="2"/>
        <v>1919212.89</v>
      </c>
      <c r="G188" s="19">
        <f>Table2[[#This Row],[profit]]/Table2[[#This Row],[operating cost]]</f>
        <v>1.2620637359308275</v>
      </c>
    </row>
    <row r="189" spans="1:7" x14ac:dyDescent="0.25">
      <c r="A189" s="11" t="s">
        <v>45</v>
      </c>
      <c r="B189" s="8">
        <v>1220381.99</v>
      </c>
      <c r="C189" s="8">
        <v>87364.9</v>
      </c>
      <c r="D189" s="8">
        <v>34147</v>
      </c>
      <c r="E189" s="8">
        <v>1153192.99</v>
      </c>
      <c r="F189" s="9">
        <f t="shared" si="2"/>
        <v>1341893.8899999999</v>
      </c>
      <c r="G189" s="19">
        <f>Table2[[#This Row],[profit]]/Table2[[#This Row],[operating cost]]</f>
        <v>0.85937718220030057</v>
      </c>
    </row>
    <row r="190" spans="1:7" x14ac:dyDescent="0.25">
      <c r="A190" s="10" t="s">
        <v>36</v>
      </c>
      <c r="B190" s="6">
        <v>1414192.99</v>
      </c>
      <c r="C190" s="6">
        <v>59725.9</v>
      </c>
      <c r="D190" s="6">
        <v>38668</v>
      </c>
      <c r="E190" s="6">
        <v>109651.99</v>
      </c>
      <c r="F190" s="7">
        <f t="shared" si="2"/>
        <v>1512586.89</v>
      </c>
      <c r="G190" s="19">
        <f>Table2[[#This Row],[profit]]/Table2[[#This Row],[operating cost]]</f>
        <v>7.2493018896917727E-2</v>
      </c>
    </row>
    <row r="191" spans="1:7" x14ac:dyDescent="0.25">
      <c r="A191" s="11" t="s">
        <v>14</v>
      </c>
      <c r="B191" s="8">
        <v>207272.99</v>
      </c>
      <c r="C191" s="8">
        <v>87555.9</v>
      </c>
      <c r="D191" s="8">
        <v>66206</v>
      </c>
      <c r="E191" s="8">
        <v>1353015.99</v>
      </c>
      <c r="F191" s="9">
        <f t="shared" si="2"/>
        <v>361034.89</v>
      </c>
      <c r="G191" s="19">
        <f>Table2[[#This Row],[profit]]/Table2[[#This Row],[operating cost]]</f>
        <v>3.7476045320716787</v>
      </c>
    </row>
    <row r="192" spans="1:7" x14ac:dyDescent="0.25">
      <c r="A192" s="10" t="s">
        <v>43</v>
      </c>
      <c r="B192" s="6">
        <v>943395.99</v>
      </c>
      <c r="C192" s="6">
        <v>110586.9</v>
      </c>
      <c r="D192" s="6">
        <v>118280</v>
      </c>
      <c r="E192" s="6">
        <v>1141042.99</v>
      </c>
      <c r="F192" s="7">
        <f t="shared" si="2"/>
        <v>1172262.8899999999</v>
      </c>
      <c r="G192" s="19">
        <f>Table2[[#This Row],[profit]]/Table2[[#This Row],[operating cost]]</f>
        <v>0.97336783389944226</v>
      </c>
    </row>
    <row r="193" spans="1:7" x14ac:dyDescent="0.25">
      <c r="A193" s="11" t="s">
        <v>12</v>
      </c>
      <c r="B193" s="8">
        <v>484931.99</v>
      </c>
      <c r="C193" s="8">
        <v>126954.9</v>
      </c>
      <c r="D193" s="8">
        <v>119115</v>
      </c>
      <c r="E193" s="8">
        <v>2091288.99</v>
      </c>
      <c r="F193" s="9">
        <f t="shared" si="2"/>
        <v>731001.89</v>
      </c>
      <c r="G193" s="19">
        <f>Table2[[#This Row],[profit]]/Table2[[#This Row],[operating cost]]</f>
        <v>2.8608530547027722</v>
      </c>
    </row>
    <row r="194" spans="1:7" x14ac:dyDescent="0.25">
      <c r="A194" s="10" t="s">
        <v>8</v>
      </c>
      <c r="B194" s="6">
        <v>1651177.99</v>
      </c>
      <c r="C194" s="6">
        <v>51157.9</v>
      </c>
      <c r="D194" s="6">
        <v>45636</v>
      </c>
      <c r="E194" s="6">
        <v>2437672.9900000002</v>
      </c>
      <c r="F194" s="7">
        <f t="shared" ref="F194:F257" si="3">SUM(B194:D194)</f>
        <v>1747971.89</v>
      </c>
      <c r="G194" s="19">
        <f>Table2[[#This Row],[profit]]/Table2[[#This Row],[operating cost]]</f>
        <v>1.39457219189034</v>
      </c>
    </row>
    <row r="195" spans="1:7" x14ac:dyDescent="0.25">
      <c r="A195" s="11" t="s">
        <v>13</v>
      </c>
      <c r="B195" s="8">
        <v>280581.99</v>
      </c>
      <c r="C195" s="8">
        <v>84113.9</v>
      </c>
      <c r="D195" s="8">
        <v>54340</v>
      </c>
      <c r="E195" s="8">
        <v>1922351.99</v>
      </c>
      <c r="F195" s="9">
        <f t="shared" si="3"/>
        <v>419035.89</v>
      </c>
      <c r="G195" s="19">
        <f>Table2[[#This Row],[profit]]/Table2[[#This Row],[operating cost]]</f>
        <v>4.5875592899691719</v>
      </c>
    </row>
    <row r="196" spans="1:7" x14ac:dyDescent="0.25">
      <c r="A196" s="10" t="s">
        <v>10</v>
      </c>
      <c r="B196" s="6">
        <v>327095.99</v>
      </c>
      <c r="C196" s="6">
        <v>109810.9</v>
      </c>
      <c r="D196" s="6">
        <v>70987</v>
      </c>
      <c r="E196" s="6">
        <v>1016701.99</v>
      </c>
      <c r="F196" s="7">
        <f t="shared" si="3"/>
        <v>507893.89</v>
      </c>
      <c r="G196" s="19">
        <f>Table2[[#This Row],[profit]]/Table2[[#This Row],[operating cost]]</f>
        <v>2.0018000019649773</v>
      </c>
    </row>
    <row r="197" spans="1:7" x14ac:dyDescent="0.25">
      <c r="A197" s="11" t="s">
        <v>19</v>
      </c>
      <c r="B197" s="8">
        <v>577258.99</v>
      </c>
      <c r="C197" s="8">
        <v>110489.9</v>
      </c>
      <c r="D197" s="8">
        <v>106890</v>
      </c>
      <c r="E197" s="8">
        <v>1081279.99</v>
      </c>
      <c r="F197" s="9">
        <f t="shared" si="3"/>
        <v>794638.89</v>
      </c>
      <c r="G197" s="19">
        <f>Table2[[#This Row],[profit]]/Table2[[#This Row],[operating cost]]</f>
        <v>1.360718690725041</v>
      </c>
    </row>
    <row r="198" spans="1:7" x14ac:dyDescent="0.25">
      <c r="A198" s="10" t="s">
        <v>13</v>
      </c>
      <c r="B198" s="6">
        <v>62911.99</v>
      </c>
      <c r="C198" s="6">
        <v>124929.9</v>
      </c>
      <c r="D198" s="6">
        <v>111495</v>
      </c>
      <c r="E198" s="6">
        <v>2414626.9900000002</v>
      </c>
      <c r="F198" s="7">
        <f t="shared" si="3"/>
        <v>299336.89</v>
      </c>
      <c r="G198" s="19">
        <f>Table2[[#This Row],[profit]]/Table2[[#This Row],[operating cost]]</f>
        <v>8.0665867477944335</v>
      </c>
    </row>
    <row r="199" spans="1:7" x14ac:dyDescent="0.25">
      <c r="A199" s="11" t="s">
        <v>29</v>
      </c>
      <c r="B199" s="8">
        <v>1155299.99</v>
      </c>
      <c r="C199" s="8">
        <v>51488.9</v>
      </c>
      <c r="D199" s="8">
        <v>93013</v>
      </c>
      <c r="E199" s="8">
        <v>2102288.9900000002</v>
      </c>
      <c r="F199" s="9">
        <f t="shared" si="3"/>
        <v>1299801.8899999999</v>
      </c>
      <c r="G199" s="19">
        <f>Table2[[#This Row],[profit]]/Table2[[#This Row],[operating cost]]</f>
        <v>1.6173918550003035</v>
      </c>
    </row>
    <row r="200" spans="1:7" x14ac:dyDescent="0.25">
      <c r="A200" s="10" t="s">
        <v>10</v>
      </c>
      <c r="B200" s="6">
        <v>1852246.99</v>
      </c>
      <c r="C200" s="6">
        <v>94551.9</v>
      </c>
      <c r="D200" s="6">
        <v>62784</v>
      </c>
      <c r="E200" s="6">
        <v>1166211.99</v>
      </c>
      <c r="F200" s="7">
        <f t="shared" si="3"/>
        <v>2009582.89</v>
      </c>
      <c r="G200" s="19">
        <f>Table2[[#This Row],[profit]]/Table2[[#This Row],[operating cost]]</f>
        <v>0.58032539777446057</v>
      </c>
    </row>
    <row r="201" spans="1:7" x14ac:dyDescent="0.25">
      <c r="A201" s="11" t="s">
        <v>41</v>
      </c>
      <c r="B201" s="8">
        <v>413494.99</v>
      </c>
      <c r="C201" s="8">
        <v>120804.9</v>
      </c>
      <c r="D201" s="8">
        <v>76250</v>
      </c>
      <c r="E201" s="8">
        <v>931177.99</v>
      </c>
      <c r="F201" s="9">
        <f t="shared" si="3"/>
        <v>610549.89</v>
      </c>
      <c r="G201" s="19">
        <f>Table2[[#This Row],[profit]]/Table2[[#This Row],[operating cost]]</f>
        <v>1.5251464380740449</v>
      </c>
    </row>
    <row r="202" spans="1:7" x14ac:dyDescent="0.25">
      <c r="A202" s="10" t="s">
        <v>32</v>
      </c>
      <c r="B202" s="6">
        <v>1477955.99</v>
      </c>
      <c r="C202" s="6">
        <v>90880.9</v>
      </c>
      <c r="D202" s="6">
        <v>115352</v>
      </c>
      <c r="E202" s="6">
        <v>913819.99</v>
      </c>
      <c r="F202" s="7">
        <f t="shared" si="3"/>
        <v>1684188.89</v>
      </c>
      <c r="G202" s="19">
        <f>Table2[[#This Row],[profit]]/Table2[[#This Row],[operating cost]]</f>
        <v>0.54258758944787955</v>
      </c>
    </row>
    <row r="203" spans="1:7" x14ac:dyDescent="0.25">
      <c r="A203" s="11" t="s">
        <v>42</v>
      </c>
      <c r="B203" s="8">
        <v>285488.99</v>
      </c>
      <c r="C203" s="8">
        <v>133076.9</v>
      </c>
      <c r="D203" s="8">
        <v>113758</v>
      </c>
      <c r="E203" s="8">
        <v>2566559.9900000002</v>
      </c>
      <c r="F203" s="9">
        <f t="shared" si="3"/>
        <v>532323.89</v>
      </c>
      <c r="G203" s="19">
        <f>Table2[[#This Row],[profit]]/Table2[[#This Row],[operating cost]]</f>
        <v>4.8214255234721852</v>
      </c>
    </row>
    <row r="204" spans="1:7" x14ac:dyDescent="0.25">
      <c r="A204" s="10" t="s">
        <v>7</v>
      </c>
      <c r="B204" s="6">
        <v>1789158.99</v>
      </c>
      <c r="C204" s="6">
        <v>139687.9</v>
      </c>
      <c r="D204" s="6">
        <v>113419</v>
      </c>
      <c r="E204" s="6">
        <v>1626092.99</v>
      </c>
      <c r="F204" s="7">
        <f t="shared" si="3"/>
        <v>2042265.89</v>
      </c>
      <c r="G204" s="19">
        <f>Table2[[#This Row],[profit]]/Table2[[#This Row],[operating cost]]</f>
        <v>0.7962200210864806</v>
      </c>
    </row>
    <row r="205" spans="1:7" x14ac:dyDescent="0.25">
      <c r="A205" s="11" t="s">
        <v>7</v>
      </c>
      <c r="B205" s="8">
        <v>871738.99</v>
      </c>
      <c r="C205" s="8">
        <v>56653.9</v>
      </c>
      <c r="D205" s="8">
        <v>112820</v>
      </c>
      <c r="E205" s="8">
        <v>1154271.99</v>
      </c>
      <c r="F205" s="9">
        <f t="shared" si="3"/>
        <v>1041212.89</v>
      </c>
      <c r="G205" s="19">
        <f>Table2[[#This Row],[profit]]/Table2[[#This Row],[operating cost]]</f>
        <v>1.1085840379866982</v>
      </c>
    </row>
    <row r="206" spans="1:7" x14ac:dyDescent="0.25">
      <c r="A206" s="10" t="s">
        <v>33</v>
      </c>
      <c r="B206" s="6">
        <v>131039.989999999</v>
      </c>
      <c r="C206" s="6">
        <v>88689.9</v>
      </c>
      <c r="D206" s="6">
        <v>111461</v>
      </c>
      <c r="E206" s="6">
        <v>2106641.9900000002</v>
      </c>
      <c r="F206" s="7">
        <f t="shared" si="3"/>
        <v>331190.88999999897</v>
      </c>
      <c r="G206" s="19">
        <f>Table2[[#This Row],[profit]]/Table2[[#This Row],[operating cost]]</f>
        <v>6.3608089884356627</v>
      </c>
    </row>
    <row r="207" spans="1:7" x14ac:dyDescent="0.25">
      <c r="A207" s="11" t="s">
        <v>41</v>
      </c>
      <c r="B207" s="8">
        <v>1797174.99</v>
      </c>
      <c r="C207" s="8">
        <v>56289.9</v>
      </c>
      <c r="D207" s="8">
        <v>112087</v>
      </c>
      <c r="E207" s="8">
        <v>1340507.99</v>
      </c>
      <c r="F207" s="9">
        <f t="shared" si="3"/>
        <v>1965551.89</v>
      </c>
      <c r="G207" s="19">
        <f>Table2[[#This Row],[profit]]/Table2[[#This Row],[operating cost]]</f>
        <v>0.6820008145396762</v>
      </c>
    </row>
    <row r="208" spans="1:7" x14ac:dyDescent="0.25">
      <c r="A208" s="10" t="s">
        <v>23</v>
      </c>
      <c r="B208" s="6">
        <v>85781.989999999903</v>
      </c>
      <c r="C208" s="6">
        <v>72137.899999999994</v>
      </c>
      <c r="D208" s="6">
        <v>91081</v>
      </c>
      <c r="E208" s="6">
        <v>786225.99</v>
      </c>
      <c r="F208" s="7">
        <f t="shared" si="3"/>
        <v>249000.8899999999</v>
      </c>
      <c r="G208" s="19">
        <f>Table2[[#This Row],[profit]]/Table2[[#This Row],[operating cost]]</f>
        <v>3.1575228104606388</v>
      </c>
    </row>
    <row r="209" spans="1:7" x14ac:dyDescent="0.25">
      <c r="A209" s="11" t="s">
        <v>26</v>
      </c>
      <c r="B209" s="8">
        <v>993777.99</v>
      </c>
      <c r="C209" s="8">
        <v>133429.9</v>
      </c>
      <c r="D209" s="8">
        <v>119502</v>
      </c>
      <c r="E209" s="8">
        <v>419013.99</v>
      </c>
      <c r="F209" s="9">
        <f t="shared" si="3"/>
        <v>1246709.8899999999</v>
      </c>
      <c r="G209" s="19">
        <f>Table2[[#This Row],[profit]]/Table2[[#This Row],[operating cost]]</f>
        <v>0.33609582578991176</v>
      </c>
    </row>
    <row r="210" spans="1:7" x14ac:dyDescent="0.25">
      <c r="A210" s="10" t="s">
        <v>6</v>
      </c>
      <c r="B210" s="6">
        <v>850264.99</v>
      </c>
      <c r="C210" s="6">
        <v>61500.9</v>
      </c>
      <c r="D210" s="6">
        <v>50228</v>
      </c>
      <c r="E210" s="6">
        <v>2571920.9900000002</v>
      </c>
      <c r="F210" s="7">
        <f t="shared" si="3"/>
        <v>961993.89</v>
      </c>
      <c r="G210" s="19">
        <f>Table2[[#This Row],[profit]]/Table2[[#This Row],[operating cost]]</f>
        <v>2.6735315231575951</v>
      </c>
    </row>
    <row r="211" spans="1:7" x14ac:dyDescent="0.25">
      <c r="A211" s="11" t="s">
        <v>28</v>
      </c>
      <c r="B211" s="8">
        <v>965645.99</v>
      </c>
      <c r="C211" s="8">
        <v>50416.9</v>
      </c>
      <c r="D211" s="8">
        <v>31879</v>
      </c>
      <c r="E211" s="8">
        <v>843320.99</v>
      </c>
      <c r="F211" s="9">
        <f t="shared" si="3"/>
        <v>1047941.89</v>
      </c>
      <c r="G211" s="19">
        <f>Table2[[#This Row],[profit]]/Table2[[#This Row],[operating cost]]</f>
        <v>0.80474022276177926</v>
      </c>
    </row>
    <row r="212" spans="1:7" x14ac:dyDescent="0.25">
      <c r="A212" s="10" t="s">
        <v>13</v>
      </c>
      <c r="B212" s="6">
        <v>1345684.99</v>
      </c>
      <c r="C212" s="6">
        <v>116947.9</v>
      </c>
      <c r="D212" s="6">
        <v>63356</v>
      </c>
      <c r="E212" s="6">
        <v>82682.990000000005</v>
      </c>
      <c r="F212" s="7">
        <f t="shared" si="3"/>
        <v>1525988.89</v>
      </c>
      <c r="G212" s="19">
        <f>Table2[[#This Row],[profit]]/Table2[[#This Row],[operating cost]]</f>
        <v>5.4183218856855508E-2</v>
      </c>
    </row>
    <row r="213" spans="1:7" x14ac:dyDescent="0.25">
      <c r="A213" s="11" t="s">
        <v>20</v>
      </c>
      <c r="B213" s="8">
        <v>111268.989999999</v>
      </c>
      <c r="C213" s="8">
        <v>77058.899999999994</v>
      </c>
      <c r="D213" s="8">
        <v>109064</v>
      </c>
      <c r="E213" s="8">
        <v>103346.99</v>
      </c>
      <c r="F213" s="9">
        <f t="shared" si="3"/>
        <v>297391.88999999897</v>
      </c>
      <c r="G213" s="19">
        <f>Table2[[#This Row],[profit]]/Table2[[#This Row],[operating cost]]</f>
        <v>0.34751112412648633</v>
      </c>
    </row>
    <row r="214" spans="1:7" x14ac:dyDescent="0.25">
      <c r="A214" s="10" t="s">
        <v>39</v>
      </c>
      <c r="B214" s="6">
        <v>1239880.99</v>
      </c>
      <c r="C214" s="6">
        <v>113657.9</v>
      </c>
      <c r="D214" s="6">
        <v>116146</v>
      </c>
      <c r="E214" s="6">
        <v>1267055.99</v>
      </c>
      <c r="F214" s="7">
        <f t="shared" si="3"/>
        <v>1469684.89</v>
      </c>
      <c r="G214" s="19">
        <f>Table2[[#This Row],[profit]]/Table2[[#This Row],[operating cost]]</f>
        <v>0.86212765649376721</v>
      </c>
    </row>
    <row r="215" spans="1:7" x14ac:dyDescent="0.25">
      <c r="A215" s="11" t="s">
        <v>12</v>
      </c>
      <c r="B215" s="8">
        <v>1826475.99</v>
      </c>
      <c r="C215" s="8">
        <v>77025.899999999994</v>
      </c>
      <c r="D215" s="8">
        <v>52234</v>
      </c>
      <c r="E215" s="8">
        <v>114604.99</v>
      </c>
      <c r="F215" s="9">
        <f t="shared" si="3"/>
        <v>1955735.89</v>
      </c>
      <c r="G215" s="19">
        <f>Table2[[#This Row],[profit]]/Table2[[#This Row],[operating cost]]</f>
        <v>5.8599420599680263E-2</v>
      </c>
    </row>
    <row r="216" spans="1:7" x14ac:dyDescent="0.25">
      <c r="A216" s="10" t="s">
        <v>41</v>
      </c>
      <c r="B216" s="6">
        <v>1979617.99</v>
      </c>
      <c r="C216" s="6">
        <v>76381.899999999994</v>
      </c>
      <c r="D216" s="6">
        <v>107252</v>
      </c>
      <c r="E216" s="6">
        <v>1675559.99</v>
      </c>
      <c r="F216" s="7">
        <f t="shared" si="3"/>
        <v>2163251.8899999997</v>
      </c>
      <c r="G216" s="19">
        <f>Table2[[#This Row],[profit]]/Table2[[#This Row],[operating cost]]</f>
        <v>0.77455611976837346</v>
      </c>
    </row>
    <row r="217" spans="1:7" x14ac:dyDescent="0.25">
      <c r="A217" s="11" t="s">
        <v>38</v>
      </c>
      <c r="B217" s="8">
        <v>742430.99</v>
      </c>
      <c r="C217" s="8">
        <v>57312.9</v>
      </c>
      <c r="D217" s="8">
        <v>49261</v>
      </c>
      <c r="E217" s="8">
        <v>585763.99</v>
      </c>
      <c r="F217" s="9">
        <f t="shared" si="3"/>
        <v>849004.89</v>
      </c>
      <c r="G217" s="19">
        <f>Table2[[#This Row],[profit]]/Table2[[#This Row],[operating cost]]</f>
        <v>0.68994183296164524</v>
      </c>
    </row>
    <row r="218" spans="1:7" x14ac:dyDescent="0.25">
      <c r="A218" s="10" t="s">
        <v>41</v>
      </c>
      <c r="B218" s="6">
        <v>822296.99</v>
      </c>
      <c r="C218" s="6">
        <v>62994.9</v>
      </c>
      <c r="D218" s="6">
        <v>59878</v>
      </c>
      <c r="E218" s="6">
        <v>1883539.99</v>
      </c>
      <c r="F218" s="7">
        <f t="shared" si="3"/>
        <v>945169.89</v>
      </c>
      <c r="G218" s="19">
        <f>Table2[[#This Row],[profit]]/Table2[[#This Row],[operating cost]]</f>
        <v>1.9928057483930217</v>
      </c>
    </row>
    <row r="219" spans="1:7" x14ac:dyDescent="0.25">
      <c r="A219" s="11" t="s">
        <v>19</v>
      </c>
      <c r="B219" s="8">
        <v>739095.99</v>
      </c>
      <c r="C219" s="8">
        <v>119197.9</v>
      </c>
      <c r="D219" s="8">
        <v>107812</v>
      </c>
      <c r="E219" s="8">
        <v>990322.99</v>
      </c>
      <c r="F219" s="9">
        <f t="shared" si="3"/>
        <v>966105.89</v>
      </c>
      <c r="G219" s="19">
        <f>Table2[[#This Row],[profit]]/Table2[[#This Row],[operating cost]]</f>
        <v>1.0250667139603091</v>
      </c>
    </row>
    <row r="220" spans="1:7" x14ac:dyDescent="0.25">
      <c r="A220" s="10" t="s">
        <v>34</v>
      </c>
      <c r="B220" s="6">
        <v>901313.99</v>
      </c>
      <c r="C220" s="6">
        <v>87164.9</v>
      </c>
      <c r="D220" s="6">
        <v>87977</v>
      </c>
      <c r="E220" s="6">
        <v>120362.99</v>
      </c>
      <c r="F220" s="7">
        <f t="shared" si="3"/>
        <v>1076455.8900000001</v>
      </c>
      <c r="G220" s="19">
        <f>Table2[[#This Row],[profit]]/Table2[[#This Row],[operating cost]]</f>
        <v>0.11181414038247307</v>
      </c>
    </row>
    <row r="221" spans="1:7" x14ac:dyDescent="0.25">
      <c r="A221" s="11" t="s">
        <v>24</v>
      </c>
      <c r="B221" s="8">
        <v>142598.99</v>
      </c>
      <c r="C221" s="8">
        <v>68585.899999999994</v>
      </c>
      <c r="D221" s="8">
        <v>63917</v>
      </c>
      <c r="E221" s="8">
        <v>730612.99</v>
      </c>
      <c r="F221" s="9">
        <f t="shared" si="3"/>
        <v>275101.89</v>
      </c>
      <c r="G221" s="19">
        <f>Table2[[#This Row],[profit]]/Table2[[#This Row],[operating cost]]</f>
        <v>2.6557905145617138</v>
      </c>
    </row>
    <row r="222" spans="1:7" x14ac:dyDescent="0.25">
      <c r="A222" s="10" t="s">
        <v>37</v>
      </c>
      <c r="B222" s="6">
        <v>1606788.99</v>
      </c>
      <c r="C222" s="6">
        <v>120739.9</v>
      </c>
      <c r="D222" s="6">
        <v>65992</v>
      </c>
      <c r="E222" s="6">
        <v>2760666.99</v>
      </c>
      <c r="F222" s="7">
        <f t="shared" si="3"/>
        <v>1793520.89</v>
      </c>
      <c r="G222" s="19">
        <f>Table2[[#This Row],[profit]]/Table2[[#This Row],[operating cost]]</f>
        <v>1.5392444021100866</v>
      </c>
    </row>
    <row r="223" spans="1:7" x14ac:dyDescent="0.25">
      <c r="A223" s="11" t="s">
        <v>15</v>
      </c>
      <c r="B223" s="8">
        <v>1091617.99</v>
      </c>
      <c r="C223" s="8">
        <v>136386.9</v>
      </c>
      <c r="D223" s="8">
        <v>84006</v>
      </c>
      <c r="E223" s="8">
        <v>2342700.9900000002</v>
      </c>
      <c r="F223" s="9">
        <f t="shared" si="3"/>
        <v>1312010.8899999999</v>
      </c>
      <c r="G223" s="19">
        <f>Table2[[#This Row],[profit]]/Table2[[#This Row],[operating cost]]</f>
        <v>1.7855804459062077</v>
      </c>
    </row>
    <row r="224" spans="1:7" x14ac:dyDescent="0.25">
      <c r="A224" s="10" t="s">
        <v>13</v>
      </c>
      <c r="B224" s="6">
        <v>793672.99</v>
      </c>
      <c r="C224" s="6">
        <v>105752.9</v>
      </c>
      <c r="D224" s="6">
        <v>69551</v>
      </c>
      <c r="E224" s="6">
        <v>1327523.99</v>
      </c>
      <c r="F224" s="7">
        <f t="shared" si="3"/>
        <v>968976.89</v>
      </c>
      <c r="G224" s="19">
        <f>Table2[[#This Row],[profit]]/Table2[[#This Row],[operating cost]]</f>
        <v>1.3700264719419675</v>
      </c>
    </row>
    <row r="225" spans="1:7" x14ac:dyDescent="0.25">
      <c r="A225" s="11" t="s">
        <v>32</v>
      </c>
      <c r="B225" s="8">
        <v>232702.99</v>
      </c>
      <c r="C225" s="8">
        <v>121384.9</v>
      </c>
      <c r="D225" s="8">
        <v>73714</v>
      </c>
      <c r="E225" s="8">
        <v>549596.99</v>
      </c>
      <c r="F225" s="9">
        <f t="shared" si="3"/>
        <v>427801.89</v>
      </c>
      <c r="G225" s="19">
        <f>Table2[[#This Row],[profit]]/Table2[[#This Row],[operating cost]]</f>
        <v>1.2846997707279881</v>
      </c>
    </row>
    <row r="226" spans="1:7" x14ac:dyDescent="0.25">
      <c r="A226" s="10" t="s">
        <v>39</v>
      </c>
      <c r="B226" s="6">
        <v>239630.99</v>
      </c>
      <c r="C226" s="6">
        <v>134743.9</v>
      </c>
      <c r="D226" s="6">
        <v>87932</v>
      </c>
      <c r="E226" s="6">
        <v>2188822.9900000002</v>
      </c>
      <c r="F226" s="7">
        <f t="shared" si="3"/>
        <v>462306.89</v>
      </c>
      <c r="G226" s="19">
        <f>Table2[[#This Row],[profit]]/Table2[[#This Row],[operating cost]]</f>
        <v>4.7345670967612019</v>
      </c>
    </row>
    <row r="227" spans="1:7" x14ac:dyDescent="0.25">
      <c r="A227" s="11" t="s">
        <v>31</v>
      </c>
      <c r="B227" s="8">
        <v>1652973.99</v>
      </c>
      <c r="C227" s="8">
        <v>86389.9</v>
      </c>
      <c r="D227" s="8">
        <v>77156</v>
      </c>
      <c r="E227" s="8">
        <v>2219263.9900000002</v>
      </c>
      <c r="F227" s="9">
        <f t="shared" si="3"/>
        <v>1816519.89</v>
      </c>
      <c r="G227" s="19">
        <f>Table2[[#This Row],[profit]]/Table2[[#This Row],[operating cost]]</f>
        <v>1.2217119131021463</v>
      </c>
    </row>
    <row r="228" spans="1:7" x14ac:dyDescent="0.25">
      <c r="A228" s="10" t="s">
        <v>25</v>
      </c>
      <c r="B228" s="6">
        <v>1241406.99</v>
      </c>
      <c r="C228" s="6">
        <v>114190.9</v>
      </c>
      <c r="D228" s="6">
        <v>53182</v>
      </c>
      <c r="E228" s="6">
        <v>988297.99</v>
      </c>
      <c r="F228" s="7">
        <f t="shared" si="3"/>
        <v>1408779.89</v>
      </c>
      <c r="G228" s="19">
        <f>Table2[[#This Row],[profit]]/Table2[[#This Row],[operating cost]]</f>
        <v>0.70152761053396362</v>
      </c>
    </row>
    <row r="229" spans="1:7" x14ac:dyDescent="0.25">
      <c r="A229" s="11" t="s">
        <v>26</v>
      </c>
      <c r="B229" s="8">
        <v>84190.989999999903</v>
      </c>
      <c r="C229" s="8">
        <v>87091.9</v>
      </c>
      <c r="D229" s="8">
        <v>40147</v>
      </c>
      <c r="E229" s="8">
        <v>1319668.99</v>
      </c>
      <c r="F229" s="9">
        <f t="shared" si="3"/>
        <v>211429.8899999999</v>
      </c>
      <c r="G229" s="19">
        <f>Table2[[#This Row],[profit]]/Table2[[#This Row],[operating cost]]</f>
        <v>6.2416387295098179</v>
      </c>
    </row>
    <row r="230" spans="1:7" x14ac:dyDescent="0.25">
      <c r="A230" s="10" t="s">
        <v>40</v>
      </c>
      <c r="B230" s="6">
        <v>1836513.99</v>
      </c>
      <c r="C230" s="6">
        <v>104613.9</v>
      </c>
      <c r="D230" s="6">
        <v>43241</v>
      </c>
      <c r="E230" s="6">
        <v>640116.99</v>
      </c>
      <c r="F230" s="7">
        <f t="shared" si="3"/>
        <v>1984368.89</v>
      </c>
      <c r="G230" s="19">
        <f>Table2[[#This Row],[profit]]/Table2[[#This Row],[operating cost]]</f>
        <v>0.32257963387039396</v>
      </c>
    </row>
    <row r="231" spans="1:7" x14ac:dyDescent="0.25">
      <c r="A231" s="11" t="s">
        <v>22</v>
      </c>
      <c r="B231" s="8">
        <v>517360.99</v>
      </c>
      <c r="C231" s="8">
        <v>68450.899999999994</v>
      </c>
      <c r="D231" s="8">
        <v>116944</v>
      </c>
      <c r="E231" s="8">
        <v>1558528.99</v>
      </c>
      <c r="F231" s="9">
        <f t="shared" si="3"/>
        <v>702755.89</v>
      </c>
      <c r="G231" s="19">
        <f>Table2[[#This Row],[profit]]/Table2[[#This Row],[operating cost]]</f>
        <v>2.2177387798201162</v>
      </c>
    </row>
    <row r="232" spans="1:7" x14ac:dyDescent="0.25">
      <c r="A232" s="10" t="s">
        <v>11</v>
      </c>
      <c r="B232" s="6">
        <v>115854.989999999</v>
      </c>
      <c r="C232" s="6">
        <v>138855.9</v>
      </c>
      <c r="D232" s="6">
        <v>77127</v>
      </c>
      <c r="E232" s="6">
        <v>694653.99</v>
      </c>
      <c r="F232" s="7">
        <f t="shared" si="3"/>
        <v>331837.88999999897</v>
      </c>
      <c r="G232" s="19">
        <f>Table2[[#This Row],[profit]]/Table2[[#This Row],[operating cost]]</f>
        <v>2.0933534443580331</v>
      </c>
    </row>
    <row r="233" spans="1:7" x14ac:dyDescent="0.25">
      <c r="A233" s="11" t="s">
        <v>17</v>
      </c>
      <c r="B233" s="8">
        <v>309817.99</v>
      </c>
      <c r="C233" s="8">
        <v>103219.9</v>
      </c>
      <c r="D233" s="8">
        <v>49460</v>
      </c>
      <c r="E233" s="8">
        <v>417902.99</v>
      </c>
      <c r="F233" s="9">
        <f t="shared" si="3"/>
        <v>462497.89</v>
      </c>
      <c r="G233" s="19">
        <f>Table2[[#This Row],[profit]]/Table2[[#This Row],[operating cost]]</f>
        <v>0.90357815470250036</v>
      </c>
    </row>
    <row r="234" spans="1:7" x14ac:dyDescent="0.25">
      <c r="A234" s="10" t="s">
        <v>22</v>
      </c>
      <c r="B234" s="6">
        <v>113841.989999999</v>
      </c>
      <c r="C234" s="6">
        <v>121760.9</v>
      </c>
      <c r="D234" s="6">
        <v>96863</v>
      </c>
      <c r="E234" s="6">
        <v>2139157.9900000002</v>
      </c>
      <c r="F234" s="7">
        <f t="shared" si="3"/>
        <v>332465.88999999897</v>
      </c>
      <c r="G234" s="19">
        <f>Table2[[#This Row],[profit]]/Table2[[#This Row],[operating cost]]</f>
        <v>6.4342179283414813</v>
      </c>
    </row>
    <row r="235" spans="1:7" x14ac:dyDescent="0.25">
      <c r="A235" s="11" t="s">
        <v>45</v>
      </c>
      <c r="B235" s="8">
        <v>944259.99</v>
      </c>
      <c r="C235" s="8">
        <v>73430.899999999994</v>
      </c>
      <c r="D235" s="8">
        <v>37715</v>
      </c>
      <c r="E235" s="8">
        <v>2505853.9900000002</v>
      </c>
      <c r="F235" s="9">
        <f t="shared" si="3"/>
        <v>1055405.8900000001</v>
      </c>
      <c r="G235" s="19">
        <f>Table2[[#This Row],[profit]]/Table2[[#This Row],[operating cost]]</f>
        <v>2.3743035866513877</v>
      </c>
    </row>
    <row r="236" spans="1:7" x14ac:dyDescent="0.25">
      <c r="A236" s="10" t="s">
        <v>15</v>
      </c>
      <c r="B236" s="6">
        <v>1449131.99</v>
      </c>
      <c r="C236" s="6">
        <v>88678.9</v>
      </c>
      <c r="D236" s="6">
        <v>49148</v>
      </c>
      <c r="E236" s="6">
        <v>2671311.9900000002</v>
      </c>
      <c r="F236" s="7">
        <f t="shared" si="3"/>
        <v>1586958.89</v>
      </c>
      <c r="G236" s="19">
        <f>Table2[[#This Row],[profit]]/Table2[[#This Row],[operating cost]]</f>
        <v>1.6832899748272625</v>
      </c>
    </row>
    <row r="237" spans="1:7" x14ac:dyDescent="0.25">
      <c r="A237" s="11" t="s">
        <v>30</v>
      </c>
      <c r="B237" s="8">
        <v>1157123.99</v>
      </c>
      <c r="C237" s="8">
        <v>107896.9</v>
      </c>
      <c r="D237" s="8">
        <v>60551</v>
      </c>
      <c r="E237" s="8">
        <v>1594495.99</v>
      </c>
      <c r="F237" s="9">
        <f t="shared" si="3"/>
        <v>1325571.8899999999</v>
      </c>
      <c r="G237" s="19">
        <f>Table2[[#This Row],[profit]]/Table2[[#This Row],[operating cost]]</f>
        <v>1.202874021415768</v>
      </c>
    </row>
    <row r="238" spans="1:7" x14ac:dyDescent="0.25">
      <c r="A238" s="10" t="s">
        <v>10</v>
      </c>
      <c r="B238" s="6">
        <v>1798229.99</v>
      </c>
      <c r="C238" s="6">
        <v>135222.9</v>
      </c>
      <c r="D238" s="6">
        <v>34782</v>
      </c>
      <c r="E238" s="6">
        <v>129362.99</v>
      </c>
      <c r="F238" s="7">
        <f t="shared" si="3"/>
        <v>1968234.89</v>
      </c>
      <c r="G238" s="19">
        <f>Table2[[#This Row],[profit]]/Table2[[#This Row],[operating cost]]</f>
        <v>6.5725381994422433E-2</v>
      </c>
    </row>
    <row r="239" spans="1:7" x14ac:dyDescent="0.25">
      <c r="A239" s="11" t="s">
        <v>6</v>
      </c>
      <c r="B239" s="8">
        <v>1250414.99</v>
      </c>
      <c r="C239" s="8">
        <v>59631.9</v>
      </c>
      <c r="D239" s="8">
        <v>31931</v>
      </c>
      <c r="E239" s="8">
        <v>2313890.9900000002</v>
      </c>
      <c r="F239" s="9">
        <f t="shared" si="3"/>
        <v>1341977.8899999999</v>
      </c>
      <c r="G239" s="19">
        <f>Table2[[#This Row],[profit]]/Table2[[#This Row],[operating cost]]</f>
        <v>1.7242392793818686</v>
      </c>
    </row>
    <row r="240" spans="1:7" x14ac:dyDescent="0.25">
      <c r="A240" s="10" t="s">
        <v>29</v>
      </c>
      <c r="B240" s="6">
        <v>722966.99</v>
      </c>
      <c r="C240" s="6">
        <v>129074.9</v>
      </c>
      <c r="D240" s="6">
        <v>116675</v>
      </c>
      <c r="E240" s="6">
        <v>822050.99</v>
      </c>
      <c r="F240" s="7">
        <f t="shared" si="3"/>
        <v>968716.89</v>
      </c>
      <c r="G240" s="19">
        <f>Table2[[#This Row],[profit]]/Table2[[#This Row],[operating cost]]</f>
        <v>0.84859776730020675</v>
      </c>
    </row>
    <row r="241" spans="1:7" x14ac:dyDescent="0.25">
      <c r="A241" s="11" t="s">
        <v>7</v>
      </c>
      <c r="B241" s="8">
        <v>383206.99</v>
      </c>
      <c r="C241" s="8">
        <v>92329.9</v>
      </c>
      <c r="D241" s="8">
        <v>67508</v>
      </c>
      <c r="E241" s="8">
        <v>2088594.99</v>
      </c>
      <c r="F241" s="9">
        <f t="shared" si="3"/>
        <v>543044.89</v>
      </c>
      <c r="G241" s="19">
        <f>Table2[[#This Row],[profit]]/Table2[[#This Row],[operating cost]]</f>
        <v>3.846081656343364</v>
      </c>
    </row>
    <row r="242" spans="1:7" x14ac:dyDescent="0.25">
      <c r="A242" s="10" t="s">
        <v>18</v>
      </c>
      <c r="B242" s="6">
        <v>403285.99</v>
      </c>
      <c r="C242" s="6">
        <v>74520.899999999994</v>
      </c>
      <c r="D242" s="6">
        <v>47972</v>
      </c>
      <c r="E242" s="6">
        <v>787895.99</v>
      </c>
      <c r="F242" s="7">
        <f t="shared" si="3"/>
        <v>525778.89</v>
      </c>
      <c r="G242" s="19">
        <f>Table2[[#This Row],[profit]]/Table2[[#This Row],[operating cost]]</f>
        <v>1.4985310460068109</v>
      </c>
    </row>
    <row r="243" spans="1:7" x14ac:dyDescent="0.25">
      <c r="A243" s="11" t="s">
        <v>10</v>
      </c>
      <c r="B243" s="8">
        <v>861790.99</v>
      </c>
      <c r="C243" s="8">
        <v>107318.9</v>
      </c>
      <c r="D243" s="8">
        <v>114935</v>
      </c>
      <c r="E243" s="8">
        <v>2935405.99</v>
      </c>
      <c r="F243" s="9">
        <f t="shared" si="3"/>
        <v>1084044.8900000001</v>
      </c>
      <c r="G243" s="19">
        <f>Table2[[#This Row],[profit]]/Table2[[#This Row],[operating cost]]</f>
        <v>2.7078269701543447</v>
      </c>
    </row>
    <row r="244" spans="1:7" x14ac:dyDescent="0.25">
      <c r="A244" s="10" t="s">
        <v>31</v>
      </c>
      <c r="B244" s="6">
        <v>606589.99</v>
      </c>
      <c r="C244" s="6">
        <v>82791.899999999994</v>
      </c>
      <c r="D244" s="6">
        <v>75288</v>
      </c>
      <c r="E244" s="6">
        <v>2088083.99</v>
      </c>
      <c r="F244" s="7">
        <f t="shared" si="3"/>
        <v>764669.89</v>
      </c>
      <c r="G244" s="19">
        <f>Table2[[#This Row],[profit]]/Table2[[#This Row],[operating cost]]</f>
        <v>2.7306998971804681</v>
      </c>
    </row>
    <row r="245" spans="1:7" x14ac:dyDescent="0.25">
      <c r="A245" s="11" t="s">
        <v>40</v>
      </c>
      <c r="B245" s="8">
        <v>1072542.99</v>
      </c>
      <c r="C245" s="8">
        <v>75328.899999999994</v>
      </c>
      <c r="D245" s="8">
        <v>98809</v>
      </c>
      <c r="E245" s="8">
        <v>1890271.99</v>
      </c>
      <c r="F245" s="9">
        <f t="shared" si="3"/>
        <v>1246680.8899999999</v>
      </c>
      <c r="G245" s="19">
        <f>Table2[[#This Row],[profit]]/Table2[[#This Row],[operating cost]]</f>
        <v>1.5162436555837477</v>
      </c>
    </row>
    <row r="246" spans="1:7" x14ac:dyDescent="0.25">
      <c r="A246" s="10" t="s">
        <v>29</v>
      </c>
      <c r="B246" s="6">
        <v>155083.99</v>
      </c>
      <c r="C246" s="6">
        <v>128398.9</v>
      </c>
      <c r="D246" s="6">
        <v>63666</v>
      </c>
      <c r="E246" s="6">
        <v>1866877.99</v>
      </c>
      <c r="F246" s="7">
        <f t="shared" si="3"/>
        <v>347148.89</v>
      </c>
      <c r="G246" s="19">
        <f>Table2[[#This Row],[profit]]/Table2[[#This Row],[operating cost]]</f>
        <v>5.3777443736029227</v>
      </c>
    </row>
    <row r="247" spans="1:7" x14ac:dyDescent="0.25">
      <c r="A247" s="11" t="s">
        <v>19</v>
      </c>
      <c r="B247" s="8">
        <v>1019595.99</v>
      </c>
      <c r="C247" s="8">
        <v>66110.899999999994</v>
      </c>
      <c r="D247" s="8">
        <v>97604</v>
      </c>
      <c r="E247" s="8">
        <v>2636294.9900000002</v>
      </c>
      <c r="F247" s="9">
        <f t="shared" si="3"/>
        <v>1183310.8899999999</v>
      </c>
      <c r="G247" s="19">
        <f>Table2[[#This Row],[profit]]/Table2[[#This Row],[operating cost]]</f>
        <v>2.2278971758639021</v>
      </c>
    </row>
    <row r="248" spans="1:7" x14ac:dyDescent="0.25">
      <c r="A248" s="10" t="s">
        <v>6</v>
      </c>
      <c r="B248" s="6">
        <v>1875133.99</v>
      </c>
      <c r="C248" s="6">
        <v>103196.9</v>
      </c>
      <c r="D248" s="6">
        <v>37718</v>
      </c>
      <c r="E248" s="6">
        <v>2719799.99</v>
      </c>
      <c r="F248" s="7">
        <f t="shared" si="3"/>
        <v>2016048.89</v>
      </c>
      <c r="G248" s="19">
        <f>Table2[[#This Row],[profit]]/Table2[[#This Row],[operating cost]]</f>
        <v>1.3490744215037367</v>
      </c>
    </row>
    <row r="249" spans="1:7" x14ac:dyDescent="0.25">
      <c r="A249" s="11" t="s">
        <v>11</v>
      </c>
      <c r="B249" s="8">
        <v>1791848.99</v>
      </c>
      <c r="C249" s="8">
        <v>79281.899999999994</v>
      </c>
      <c r="D249" s="8">
        <v>103100</v>
      </c>
      <c r="E249" s="8">
        <v>1311427.99</v>
      </c>
      <c r="F249" s="9">
        <f t="shared" si="3"/>
        <v>1974230.89</v>
      </c>
      <c r="G249" s="19">
        <f>Table2[[#This Row],[profit]]/Table2[[#This Row],[operating cost]]</f>
        <v>0.66427285513701995</v>
      </c>
    </row>
    <row r="250" spans="1:7" x14ac:dyDescent="0.25">
      <c r="A250" s="10" t="s">
        <v>10</v>
      </c>
      <c r="B250" s="6">
        <v>1387658.99</v>
      </c>
      <c r="C250" s="6">
        <v>120777.9</v>
      </c>
      <c r="D250" s="6">
        <v>119665</v>
      </c>
      <c r="E250" s="6">
        <v>1570538.99</v>
      </c>
      <c r="F250" s="7">
        <f t="shared" si="3"/>
        <v>1628101.89</v>
      </c>
      <c r="G250" s="19">
        <f>Table2[[#This Row],[profit]]/Table2[[#This Row],[operating cost]]</f>
        <v>0.96464416609700032</v>
      </c>
    </row>
    <row r="251" spans="1:7" x14ac:dyDescent="0.25">
      <c r="A251" s="11" t="s">
        <v>16</v>
      </c>
      <c r="B251" s="8">
        <v>1263330.99</v>
      </c>
      <c r="C251" s="8">
        <v>102385.9</v>
      </c>
      <c r="D251" s="8">
        <v>117563</v>
      </c>
      <c r="E251" s="8">
        <v>1542962.99</v>
      </c>
      <c r="F251" s="9">
        <f t="shared" si="3"/>
        <v>1483279.89</v>
      </c>
      <c r="G251" s="19">
        <f>Table2[[#This Row],[profit]]/Table2[[#This Row],[operating cost]]</f>
        <v>1.0402372474691881</v>
      </c>
    </row>
    <row r="252" spans="1:7" x14ac:dyDescent="0.25">
      <c r="A252" s="10" t="s">
        <v>30</v>
      </c>
      <c r="B252" s="6">
        <v>1821542.99</v>
      </c>
      <c r="C252" s="6">
        <v>53279.9</v>
      </c>
      <c r="D252" s="6">
        <v>47019</v>
      </c>
      <c r="E252" s="6">
        <v>561220.99</v>
      </c>
      <c r="F252" s="7">
        <f t="shared" si="3"/>
        <v>1921841.89</v>
      </c>
      <c r="G252" s="19">
        <f>Table2[[#This Row],[profit]]/Table2[[#This Row],[operating cost]]</f>
        <v>0.29202245664444332</v>
      </c>
    </row>
    <row r="253" spans="1:7" x14ac:dyDescent="0.25">
      <c r="A253" s="11" t="s">
        <v>11</v>
      </c>
      <c r="B253" s="8">
        <v>859197.99</v>
      </c>
      <c r="C253" s="8">
        <v>93983.9</v>
      </c>
      <c r="D253" s="8">
        <v>71485</v>
      </c>
      <c r="E253" s="8">
        <v>833587.99</v>
      </c>
      <c r="F253" s="9">
        <f t="shared" si="3"/>
        <v>1024666.89</v>
      </c>
      <c r="G253" s="19">
        <f>Table2[[#This Row],[profit]]/Table2[[#This Row],[operating cost]]</f>
        <v>0.8135209580159265</v>
      </c>
    </row>
    <row r="254" spans="1:7" x14ac:dyDescent="0.25">
      <c r="A254" s="10" t="s">
        <v>38</v>
      </c>
      <c r="B254" s="6">
        <v>105086.989999999</v>
      </c>
      <c r="C254" s="6">
        <v>120847.9</v>
      </c>
      <c r="D254" s="6">
        <v>102922</v>
      </c>
      <c r="E254" s="6">
        <v>1276978.99</v>
      </c>
      <c r="F254" s="7">
        <f t="shared" si="3"/>
        <v>328856.88999999897</v>
      </c>
      <c r="G254" s="19">
        <f>Table2[[#This Row],[profit]]/Table2[[#This Row],[operating cost]]</f>
        <v>3.8830841889917647</v>
      </c>
    </row>
    <row r="255" spans="1:7" x14ac:dyDescent="0.25">
      <c r="A255" s="11" t="s">
        <v>34</v>
      </c>
      <c r="B255" s="8">
        <v>352053.99</v>
      </c>
      <c r="C255" s="8">
        <v>87072.9</v>
      </c>
      <c r="D255" s="8">
        <v>31951</v>
      </c>
      <c r="E255" s="8">
        <v>398021.99</v>
      </c>
      <c r="F255" s="9">
        <f t="shared" si="3"/>
        <v>471077.89</v>
      </c>
      <c r="G255" s="19">
        <f>Table2[[#This Row],[profit]]/Table2[[#This Row],[operating cost]]</f>
        <v>0.84491757827988911</v>
      </c>
    </row>
    <row r="256" spans="1:7" x14ac:dyDescent="0.25">
      <c r="A256" s="10" t="s">
        <v>23</v>
      </c>
      <c r="B256" s="6">
        <v>476147.99</v>
      </c>
      <c r="C256" s="6">
        <v>93143.9</v>
      </c>
      <c r="D256" s="6">
        <v>75686</v>
      </c>
      <c r="E256" s="6">
        <v>743815.99</v>
      </c>
      <c r="F256" s="7">
        <f t="shared" si="3"/>
        <v>644977.89</v>
      </c>
      <c r="G256" s="19">
        <f>Table2[[#This Row],[profit]]/Table2[[#This Row],[operating cost]]</f>
        <v>1.1532426173554569</v>
      </c>
    </row>
    <row r="257" spans="1:7" x14ac:dyDescent="0.25">
      <c r="A257" s="11" t="s">
        <v>34</v>
      </c>
      <c r="B257" s="8">
        <v>933266.99</v>
      </c>
      <c r="C257" s="8">
        <v>107860.9</v>
      </c>
      <c r="D257" s="8">
        <v>51672</v>
      </c>
      <c r="E257" s="8">
        <v>1346449.99</v>
      </c>
      <c r="F257" s="9">
        <f t="shared" si="3"/>
        <v>1092799.8900000001</v>
      </c>
      <c r="G257" s="19">
        <f>Table2[[#This Row],[profit]]/Table2[[#This Row],[operating cost]]</f>
        <v>1.2321102905674706</v>
      </c>
    </row>
    <row r="258" spans="1:7" x14ac:dyDescent="0.25">
      <c r="A258" s="10" t="s">
        <v>30</v>
      </c>
      <c r="B258" s="6">
        <v>580840.99</v>
      </c>
      <c r="C258" s="6">
        <v>53904.9</v>
      </c>
      <c r="D258" s="6">
        <v>112994</v>
      </c>
      <c r="E258" s="6">
        <v>1198331.99</v>
      </c>
      <c r="F258" s="7">
        <f t="shared" ref="F258:F272" si="4">SUM(B258:D258)</f>
        <v>747739.89</v>
      </c>
      <c r="G258" s="19">
        <f>Table2[[#This Row],[profit]]/Table2[[#This Row],[operating cost]]</f>
        <v>1.6026054060055563</v>
      </c>
    </row>
    <row r="259" spans="1:7" x14ac:dyDescent="0.25">
      <c r="A259" s="11" t="s">
        <v>29</v>
      </c>
      <c r="B259" s="8">
        <v>1116726.99</v>
      </c>
      <c r="C259" s="8">
        <v>127485.9</v>
      </c>
      <c r="D259" s="8">
        <v>81283</v>
      </c>
      <c r="E259" s="8">
        <v>2886772.99</v>
      </c>
      <c r="F259" s="9">
        <f t="shared" si="4"/>
        <v>1325495.8899999999</v>
      </c>
      <c r="G259" s="19">
        <f>Table2[[#This Row],[profit]]/Table2[[#This Row],[operating cost]]</f>
        <v>2.1778815096891777</v>
      </c>
    </row>
    <row r="260" spans="1:7" x14ac:dyDescent="0.25">
      <c r="A260" s="10" t="s">
        <v>45</v>
      </c>
      <c r="B260" s="6">
        <v>225364.99</v>
      </c>
      <c r="C260" s="6">
        <v>74910.899999999994</v>
      </c>
      <c r="D260" s="6">
        <v>98882</v>
      </c>
      <c r="E260" s="6">
        <v>1041043.99</v>
      </c>
      <c r="F260" s="7">
        <f t="shared" si="4"/>
        <v>399157.89</v>
      </c>
      <c r="G260" s="19">
        <f>Table2[[#This Row],[profit]]/Table2[[#This Row],[operating cost]]</f>
        <v>2.6081007442944442</v>
      </c>
    </row>
    <row r="261" spans="1:7" x14ac:dyDescent="0.25">
      <c r="A261" s="11" t="s">
        <v>17</v>
      </c>
      <c r="B261" s="8">
        <v>1997933.99</v>
      </c>
      <c r="C261" s="8">
        <v>70581.899999999994</v>
      </c>
      <c r="D261" s="8">
        <v>109378</v>
      </c>
      <c r="E261" s="8">
        <v>1518147.99</v>
      </c>
      <c r="F261" s="9">
        <f t="shared" si="4"/>
        <v>2177893.8899999997</v>
      </c>
      <c r="G261" s="19">
        <f>Table2[[#This Row],[profit]]/Table2[[#This Row],[operating cost]]</f>
        <v>0.69707160526539713</v>
      </c>
    </row>
    <row r="262" spans="1:7" x14ac:dyDescent="0.25">
      <c r="A262" s="10" t="s">
        <v>11</v>
      </c>
      <c r="B262" s="6">
        <v>705193.99</v>
      </c>
      <c r="C262" s="6">
        <v>86704.9</v>
      </c>
      <c r="D262" s="6">
        <v>97281</v>
      </c>
      <c r="E262" s="6">
        <v>2721712.99</v>
      </c>
      <c r="F262" s="7">
        <f t="shared" si="4"/>
        <v>889179.89</v>
      </c>
      <c r="G262" s="19">
        <f>Table2[[#This Row],[profit]]/Table2[[#This Row],[operating cost]]</f>
        <v>3.0609250395890086</v>
      </c>
    </row>
    <row r="263" spans="1:7" x14ac:dyDescent="0.25">
      <c r="A263" s="11" t="s">
        <v>43</v>
      </c>
      <c r="B263" s="8">
        <v>467335.99</v>
      </c>
      <c r="C263" s="8">
        <v>54642.9</v>
      </c>
      <c r="D263" s="8">
        <v>33824</v>
      </c>
      <c r="E263" s="8">
        <v>1884640.99</v>
      </c>
      <c r="F263" s="9">
        <f t="shared" si="4"/>
        <v>555802.89</v>
      </c>
      <c r="G263" s="19">
        <f>Table2[[#This Row],[profit]]/Table2[[#This Row],[operating cost]]</f>
        <v>3.3908441713932072</v>
      </c>
    </row>
    <row r="264" spans="1:7" x14ac:dyDescent="0.25">
      <c r="A264" s="10" t="s">
        <v>32</v>
      </c>
      <c r="B264" s="6">
        <v>1059202.99</v>
      </c>
      <c r="C264" s="6">
        <v>115841.9</v>
      </c>
      <c r="D264" s="6">
        <v>45634</v>
      </c>
      <c r="E264" s="6">
        <v>706488.99</v>
      </c>
      <c r="F264" s="7">
        <f t="shared" si="4"/>
        <v>1220678.8899999999</v>
      </c>
      <c r="G264" s="19">
        <f>Table2[[#This Row],[profit]]/Table2[[#This Row],[operating cost]]</f>
        <v>0.57876727105520764</v>
      </c>
    </row>
    <row r="265" spans="1:7" x14ac:dyDescent="0.25">
      <c r="A265" s="11" t="s">
        <v>19</v>
      </c>
      <c r="B265" s="8">
        <v>1557004.99</v>
      </c>
      <c r="C265" s="8">
        <v>81097.899999999994</v>
      </c>
      <c r="D265" s="8">
        <v>112433</v>
      </c>
      <c r="E265" s="8">
        <v>1776624.99</v>
      </c>
      <c r="F265" s="9">
        <f t="shared" si="4"/>
        <v>1750535.89</v>
      </c>
      <c r="G265" s="19">
        <f>Table2[[#This Row],[profit]]/Table2[[#This Row],[operating cost]]</f>
        <v>1.0149034933525414</v>
      </c>
    </row>
    <row r="266" spans="1:7" x14ac:dyDescent="0.25">
      <c r="A266" s="10" t="s">
        <v>30</v>
      </c>
      <c r="B266" s="6">
        <v>1715627.99</v>
      </c>
      <c r="C266" s="6">
        <v>61617.9</v>
      </c>
      <c r="D266" s="6">
        <v>38514</v>
      </c>
      <c r="E266" s="6">
        <v>1526547.99</v>
      </c>
      <c r="F266" s="7">
        <f t="shared" si="4"/>
        <v>1815759.89</v>
      </c>
      <c r="G266" s="19">
        <f>Table2[[#This Row],[profit]]/Table2[[#This Row],[operating cost]]</f>
        <v>0.84072128611674535</v>
      </c>
    </row>
    <row r="267" spans="1:7" x14ac:dyDescent="0.25">
      <c r="A267" s="11" t="s">
        <v>18</v>
      </c>
      <c r="B267" s="8">
        <v>1144034.99</v>
      </c>
      <c r="C267" s="8">
        <v>98523.9</v>
      </c>
      <c r="D267" s="8">
        <v>52896</v>
      </c>
      <c r="E267" s="8">
        <v>2061628.99</v>
      </c>
      <c r="F267" s="9">
        <f t="shared" si="4"/>
        <v>1295454.8899999999</v>
      </c>
      <c r="G267" s="19">
        <f>Table2[[#This Row],[profit]]/Table2[[#This Row],[operating cost]]</f>
        <v>1.5914324812962033</v>
      </c>
    </row>
    <row r="268" spans="1:7" x14ac:dyDescent="0.25">
      <c r="A268" s="10" t="s">
        <v>34</v>
      </c>
      <c r="B268" s="6">
        <v>1496277.99</v>
      </c>
      <c r="C268" s="6">
        <v>104491.9</v>
      </c>
      <c r="D268" s="6">
        <v>74515</v>
      </c>
      <c r="E268" s="6">
        <v>2430410.9900000002</v>
      </c>
      <c r="F268" s="7">
        <f t="shared" si="4"/>
        <v>1675284.89</v>
      </c>
      <c r="G268" s="19">
        <f>Table2[[#This Row],[profit]]/Table2[[#This Row],[operating cost]]</f>
        <v>1.450744887933658</v>
      </c>
    </row>
    <row r="269" spans="1:7" x14ac:dyDescent="0.25">
      <c r="A269" s="11" t="s">
        <v>10</v>
      </c>
      <c r="B269" s="8">
        <v>637793.99</v>
      </c>
      <c r="C269" s="8">
        <v>75079.899999999994</v>
      </c>
      <c r="D269" s="8">
        <v>107567</v>
      </c>
      <c r="E269" s="8">
        <v>2176831.9900000002</v>
      </c>
      <c r="F269" s="9">
        <f t="shared" si="4"/>
        <v>820440.89</v>
      </c>
      <c r="G269" s="19">
        <f>Table2[[#This Row],[profit]]/Table2[[#This Row],[operating cost]]</f>
        <v>2.6532465855035579</v>
      </c>
    </row>
    <row r="270" spans="1:7" x14ac:dyDescent="0.25">
      <c r="A270" s="10" t="s">
        <v>45</v>
      </c>
      <c r="B270" s="6">
        <v>921231.99</v>
      </c>
      <c r="C270" s="6">
        <v>116948.9</v>
      </c>
      <c r="D270" s="6">
        <v>73902</v>
      </c>
      <c r="E270" s="6">
        <v>1035400.99</v>
      </c>
      <c r="F270" s="7">
        <f t="shared" si="4"/>
        <v>1112082.8900000001</v>
      </c>
      <c r="G270" s="19">
        <f>Table2[[#This Row],[profit]]/Table2[[#This Row],[operating cost]]</f>
        <v>0.93104659671546597</v>
      </c>
    </row>
    <row r="271" spans="1:7" x14ac:dyDescent="0.25">
      <c r="A271" s="11" t="s">
        <v>42</v>
      </c>
      <c r="B271" s="8">
        <v>912331.99</v>
      </c>
      <c r="C271" s="8">
        <v>59714.9</v>
      </c>
      <c r="D271" s="8">
        <v>70942</v>
      </c>
      <c r="E271" s="8">
        <v>2848832.99</v>
      </c>
      <c r="F271" s="9">
        <f t="shared" si="4"/>
        <v>1042988.89</v>
      </c>
      <c r="G271" s="19">
        <f>Table2[[#This Row],[profit]]/Table2[[#This Row],[operating cost]]</f>
        <v>2.7314125944332925</v>
      </c>
    </row>
    <row r="272" spans="1:7" x14ac:dyDescent="0.25">
      <c r="A272" s="12" t="s">
        <v>43</v>
      </c>
      <c r="B272" s="2">
        <v>1340661.99</v>
      </c>
      <c r="C272" s="2">
        <v>109442.9</v>
      </c>
      <c r="D272" s="2">
        <v>93597</v>
      </c>
      <c r="E272" s="2">
        <v>1921238.99</v>
      </c>
      <c r="F272" s="3">
        <f t="shared" si="4"/>
        <v>1543701.89</v>
      </c>
      <c r="G272" s="19">
        <f>Table2[[#This Row],[profit]]/Table2[[#This Row],[operating cost]]</f>
        <v>1.2445660670921379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competitors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 Mark</dc:creator>
  <cp:lastModifiedBy>Windows User</cp:lastModifiedBy>
  <dcterms:created xsi:type="dcterms:W3CDTF">2023-07-22T15:01:02Z</dcterms:created>
  <dcterms:modified xsi:type="dcterms:W3CDTF">2023-07-23T09:19:07Z</dcterms:modified>
</cp:coreProperties>
</file>